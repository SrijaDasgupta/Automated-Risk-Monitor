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jects" sheetId="2" r:id="rId6"/>
    <sheet state="visible" name="Risk Register" sheetId="3" r:id="rId7"/>
    <sheet state="visible" name="Tasks" sheetId="4" r:id="rId8"/>
    <sheet state="visible" name="Stakeholder Updates" sheetId="5" r:id="rId9"/>
    <sheet state="visible" name="AI Risk Summary" sheetId="6" r:id="rId10"/>
    <sheet state="visible" name="Lists" sheetId="7" r:id="rId11"/>
  </sheets>
  <definedNames/>
  <calcPr/>
</workbook>
</file>

<file path=xl/sharedStrings.xml><?xml version="1.0" encoding="utf-8"?>
<sst xmlns="http://schemas.openxmlformats.org/spreadsheetml/2006/main" count="403" uniqueCount="238">
  <si>
    <t>Smart Project Risk Monitor — PM Dashboard</t>
  </si>
  <si>
    <t>Metric</t>
  </si>
  <si>
    <t>Value</t>
  </si>
  <si>
    <t>Risk Level</t>
  </si>
  <si>
    <t>Count</t>
  </si>
  <si>
    <t>Project</t>
  </si>
  <si>
    <t>Overall Risk Level</t>
  </si>
  <si>
    <t>Total Projects</t>
  </si>
  <si>
    <t>Critical</t>
  </si>
  <si>
    <t>MFA Rollout</t>
  </si>
  <si>
    <t>Open / Monitoring Risks</t>
  </si>
  <si>
    <t>High</t>
  </si>
  <si>
    <t>Vulnerability Remediation</t>
  </si>
  <si>
    <t>Critical Risks</t>
  </si>
  <si>
    <t>Medium</t>
  </si>
  <si>
    <t>Audit Evidence Collection</t>
  </si>
  <si>
    <t>High Risks</t>
  </si>
  <si>
    <t>Low</t>
  </si>
  <si>
    <t>Access Control Cleanup</t>
  </si>
  <si>
    <t>Medium Risks</t>
  </si>
  <si>
    <t>Vendor Security Review</t>
  </si>
  <si>
    <t>Overdue Risks</t>
  </si>
  <si>
    <t>Escalations Needed</t>
  </si>
  <si>
    <t>Blocked Tasks</t>
  </si>
  <si>
    <t>Stale Task Updates</t>
  </si>
  <si>
    <t>Risk Category</t>
  </si>
  <si>
    <t>Open Risks</t>
  </si>
  <si>
    <t>Delivery</t>
  </si>
  <si>
    <t>Security</t>
  </si>
  <si>
    <t>Compliance</t>
  </si>
  <si>
    <t>Dependency</t>
  </si>
  <si>
    <t>Resource</t>
  </si>
  <si>
    <t>Ownership</t>
  </si>
  <si>
    <t>Communication</t>
  </si>
  <si>
    <t>AI Prompt Starter</t>
  </si>
  <si>
    <t>You are a Product Manager reviewing a cybersecurity project risk register. Analyze the open risks and tasks. Identify the top risks, explain why they matter, assign an overall risk level, recommend PM next actions, and write a concise stakeholder update. Focus on delivery, compliance, ownership gaps, dependencies, and escalation needs.</t>
  </si>
  <si>
    <t>Project ID</t>
  </si>
  <si>
    <t>Project Name</t>
  </si>
  <si>
    <t>Project Owner</t>
  </si>
  <si>
    <t>Business Goal</t>
  </si>
  <si>
    <t>Start Date</t>
  </si>
  <si>
    <t>Target Date</t>
  </si>
  <si>
    <t>Status</t>
  </si>
  <si>
    <t>Completion %</t>
  </si>
  <si>
    <t>Last Updated</t>
  </si>
  <si>
    <t>Notes</t>
  </si>
  <si>
    <t>P-001</t>
  </si>
  <si>
    <t>Srija Dasgupta</t>
  </si>
  <si>
    <t>Improve account security before audit deadline</t>
  </si>
  <si>
    <t>In Progress</t>
  </si>
  <si>
    <t>Focus: adoption, support readiness, stakeholder communication</t>
  </si>
  <si>
    <t>P-002</t>
  </si>
  <si>
    <t>Security PM</t>
  </si>
  <si>
    <t>Close critical/high vulnerabilities before audit</t>
  </si>
  <si>
    <t>Blocked</t>
  </si>
  <si>
    <t>Focus: ownership, remediation deadline, exception approvals</t>
  </si>
  <si>
    <t>P-003</t>
  </si>
  <si>
    <t>Compliance Lead</t>
  </si>
  <si>
    <t>Prepare evidence package for cybersecurity audit</t>
  </si>
  <si>
    <t>Focus: evidence readiness, missing documentation, review signoff</t>
  </si>
  <si>
    <t>P-004</t>
  </si>
  <si>
    <t>IAM Lead</t>
  </si>
  <si>
    <t>Remove stale access and validate least privilege controls</t>
  </si>
  <si>
    <t>Not Started</t>
  </si>
  <si>
    <t>Focus: missing owners, access review completion</t>
  </si>
  <si>
    <t>P-005</t>
  </si>
  <si>
    <t>Procurement PM</t>
  </si>
  <si>
    <t>Complete vendor questionnaire and security review</t>
  </si>
  <si>
    <t>Focus: vendor dependency, questionnaire completion, legal review</t>
  </si>
  <si>
    <t>Risk ID</t>
  </si>
  <si>
    <t>Risk Description</t>
  </si>
  <si>
    <t>Impact</t>
  </si>
  <si>
    <t>Probability</t>
  </si>
  <si>
    <t>Risk Score</t>
  </si>
  <si>
    <t>Risk Owner</t>
  </si>
  <si>
    <t>Due Date</t>
  </si>
  <si>
    <t>Days Until Due</t>
  </si>
  <si>
    <t>Mitigation Plan</t>
  </si>
  <si>
    <t>Escalation Needed?</t>
  </si>
  <si>
    <t>PM Notes</t>
  </si>
  <si>
    <t>R-001</t>
  </si>
  <si>
    <t>MFA adoption is below target before audit deadline</t>
  </si>
  <si>
    <t>Create adoption tracker, schedule manager reminders, prepare exception process</t>
  </si>
  <si>
    <t>Open</t>
  </si>
  <si>
    <t>PM focus: adoption trend and leadership visibility</t>
  </si>
  <si>
    <t>R-002</t>
  </si>
  <si>
    <t>Critical vulnerabilities remain unresolved close to remediation deadline</t>
  </si>
  <si>
    <t>Security Lead</t>
  </si>
  <si>
    <t>Prioritize critical findings, assign owners, escalate exceptions</t>
  </si>
  <si>
    <t>PM focus: ownership and time-to-remediate</t>
  </si>
  <si>
    <t>R-003</t>
  </si>
  <si>
    <t>Audit evidence is spread across multiple teams and not centrally validated</t>
  </si>
  <si>
    <t>Create evidence checklist and central folder; confirm evidence owners</t>
  </si>
  <si>
    <t>Monitoring</t>
  </si>
  <si>
    <t>PM focus: readiness and documentation quality</t>
  </si>
  <si>
    <t>R-004</t>
  </si>
  <si>
    <t>Access review has missing business owners for several applications</t>
  </si>
  <si>
    <t>Map application owners and escalate owner gaps to leadership</t>
  </si>
  <si>
    <t>PM focus: accountability gaps</t>
  </si>
  <si>
    <t>R-005</t>
  </si>
  <si>
    <t>Vendor security questionnaire is incomplete and may delay approval</t>
  </si>
  <si>
    <t>Send follow-up to vendor; define internal deadline and backup approval path</t>
  </si>
  <si>
    <t>PM focus: external dependency</t>
  </si>
  <si>
    <t>R-006</t>
  </si>
  <si>
    <t>End-user training materials are not finalized</t>
  </si>
  <si>
    <t>Training Lead</t>
  </si>
  <si>
    <t>Finalize FAQ and support scripts; publish launch communication</t>
  </si>
  <si>
    <t>PM focus: rollout readiness</t>
  </si>
  <si>
    <t>R-007</t>
  </si>
  <si>
    <t>Security engineers are overloaded with remediation and audit support</t>
  </si>
  <si>
    <t>Rebalance workload; defer low-risk items; request temporary support</t>
  </si>
  <si>
    <t>PM focus: capacity planning</t>
  </si>
  <si>
    <t>R-008</t>
  </si>
  <si>
    <t>Policy review signoff is pending from legal/compliance stakeholders</t>
  </si>
  <si>
    <t>Schedule signoff review; document open questions and due dates</t>
  </si>
  <si>
    <t>PM focus: signoff dependency</t>
  </si>
  <si>
    <t>R-009</t>
  </si>
  <si>
    <t>Stale privileged accounts may remain active after cleanup deadline</t>
  </si>
  <si>
    <t>Generate privileged account list; review exceptions weekly</t>
  </si>
  <si>
    <t>PM focus: control effectiveness</t>
  </si>
  <si>
    <t>R-010</t>
  </si>
  <si>
    <t>Legal review may not complete before vendor onboarding decision</t>
  </si>
  <si>
    <t>Legal Partner</t>
  </si>
  <si>
    <t>Confirm legal SLA; prepare decision-ready summary for approvers</t>
  </si>
  <si>
    <t>PM focus: timeline risk</t>
  </si>
  <si>
    <t>Task ID</t>
  </si>
  <si>
    <t>Task Name</t>
  </si>
  <si>
    <t>Task Owner</t>
  </si>
  <si>
    <t>Priority</t>
  </si>
  <si>
    <t>Blocked?</t>
  </si>
  <si>
    <t>Blocker Reason</t>
  </si>
  <si>
    <t>Last Update</t>
  </si>
  <si>
    <t>Stale Update?</t>
  </si>
  <si>
    <t>T-001</t>
  </si>
  <si>
    <t>Confirm user groups for phased rollout</t>
  </si>
  <si>
    <t>No</t>
  </si>
  <si>
    <t>Needed before comms plan</t>
  </si>
  <si>
    <t>T-002</t>
  </si>
  <si>
    <t>Finalize training FAQ</t>
  </si>
  <si>
    <t>Yes</t>
  </si>
  <si>
    <t>Waiting for help desk support script</t>
  </si>
  <si>
    <t>Escalate in weekly status</t>
  </si>
  <si>
    <t>T-003</t>
  </si>
  <si>
    <t>Assign critical vulnerability owners</t>
  </si>
  <si>
    <t>Application owner list incomplete</t>
  </si>
  <si>
    <t>PM to push ownership mapping</t>
  </si>
  <si>
    <t>T-004</t>
  </si>
  <si>
    <t>Validate remediation evidence</t>
  </si>
  <si>
    <t>Security Analyst</t>
  </si>
  <si>
    <t>Start after fixes complete</t>
  </si>
  <si>
    <t>T-005</t>
  </si>
  <si>
    <t>Create audit evidence checklist</t>
  </si>
  <si>
    <t>Done</t>
  </si>
  <si>
    <t>Template created</t>
  </si>
  <si>
    <t>T-006</t>
  </si>
  <si>
    <t>Collect policy review signoffs</t>
  </si>
  <si>
    <t>Needs legal/compliance signoff</t>
  </si>
  <si>
    <t>T-007</t>
  </si>
  <si>
    <t>Map app owners for access reviews</t>
  </si>
  <si>
    <t>Missing owner data for legacy apps</t>
  </si>
  <si>
    <t>Potential escalation</t>
  </si>
  <si>
    <t>T-008</t>
  </si>
  <si>
    <t>Review privileged accounts</t>
  </si>
  <si>
    <t>IAM Analyst</t>
  </si>
  <si>
    <t>High audit impact</t>
  </si>
  <si>
    <t>T-009</t>
  </si>
  <si>
    <t>Send vendor questionnaire follow-up</t>
  </si>
  <si>
    <t>Vendor dependency</t>
  </si>
  <si>
    <t>T-010</t>
  </si>
  <si>
    <t>Prepare vendor risk decision memo</t>
  </si>
  <si>
    <t>Use if questionnaire is late</t>
  </si>
  <si>
    <t>Update ID</t>
  </si>
  <si>
    <t>Date</t>
  </si>
  <si>
    <t>Audience</t>
  </si>
  <si>
    <t>Update Type</t>
  </si>
  <si>
    <t>Summary</t>
  </si>
  <si>
    <t>Key Risks</t>
  </si>
  <si>
    <t>Decisions Needed</t>
  </si>
  <si>
    <t>Action Items</t>
  </si>
  <si>
    <t>Owner</t>
  </si>
  <si>
    <t>U-001</t>
  </si>
  <si>
    <t>Leadership</t>
  </si>
  <si>
    <t>Weekly Status</t>
  </si>
  <si>
    <t>Rollout is progressing but adoption is below the audit readiness target.</t>
  </si>
  <si>
    <t>Adoption below target; training not finalized</t>
  </si>
  <si>
    <t>Confirm whether exceptions need leadership approval</t>
  </si>
  <si>
    <t>Finalize FAQ and publish manager reminder</t>
  </si>
  <si>
    <t>U-002</t>
  </si>
  <si>
    <t>Security Team</t>
  </si>
  <si>
    <t>Risk Escalation</t>
  </si>
  <si>
    <t>Critical remediation items are at risk due to owner gaps and capacity issues.</t>
  </si>
  <si>
    <t>Critical findings unresolved; overloaded engineers</t>
  </si>
  <si>
    <t>Decide if low-risk work can be deferred</t>
  </si>
  <si>
    <t>Assign owners and confirm remediation timeline</t>
  </si>
  <si>
    <t>U-003</t>
  </si>
  <si>
    <t>Compliance Team</t>
  </si>
  <si>
    <t>Audit Update</t>
  </si>
  <si>
    <t>Evidence checklist is created; signoff and centralized validation remain pending.</t>
  </si>
  <si>
    <t>Evidence scattered; signoff dependency</t>
  </si>
  <si>
    <t>Confirm signoff owners</t>
  </si>
  <si>
    <t>Collect missing evidence and schedule signoff review</t>
  </si>
  <si>
    <t>Summary ID</t>
  </si>
  <si>
    <t>Date Generated</t>
  </si>
  <si>
    <t>Overall Project Health</t>
  </si>
  <si>
    <t>Top Risks</t>
  </si>
  <si>
    <t>Why It Matters</t>
  </si>
  <si>
    <t>Recommended PM Actions</t>
  </si>
  <si>
    <t>Escalation Recommendation</t>
  </si>
  <si>
    <t>Stakeholder Summary</t>
  </si>
  <si>
    <t>Generated By</t>
  </si>
  <si>
    <t>AI-001</t>
  </si>
  <si>
    <t>At Risk</t>
  </si>
  <si>
    <t>Critical vulnerabilities remain unresolved; owner mapping is incomplete; security team capacity is constrained.</t>
  </si>
  <si>
    <t>Audit readiness and remediation deadlines may be missed if ownership is not resolved quickly.</t>
  </si>
  <si>
    <t>Escalate owner gaps, prioritize critical findings, document exceptions, and confirm revised remediation dates.</t>
  </si>
  <si>
    <t>Escalate to Security Leadership this week.</t>
  </si>
  <si>
    <t>Vulnerability remediation is currently Critical due to unresolved findings and ownership gaps. PM action is needed to confirm owners and remediation dates.</t>
  </si>
  <si>
    <t>Manual ChatGPT</t>
  </si>
  <si>
    <t>Sample PM-style AI summary</t>
  </si>
  <si>
    <t>AI-002</t>
  </si>
  <si>
    <t>Watch Closely</t>
  </si>
  <si>
    <t>Adoption is below target and training materials are not finalized.</t>
  </si>
  <si>
    <t>Low adoption could create audit exceptions and support burden during rollout.</t>
  </si>
  <si>
    <t>Publish FAQ, send manager reminders, track adoption by group, and define exception process.</t>
  </si>
  <si>
    <t>Escalate if adoption does not improve by next checkpoint.</t>
  </si>
  <si>
    <t>MFA rollout is High risk due to adoption and communication readiness gaps.</t>
  </si>
  <si>
    <t>Yes/No</t>
  </si>
  <si>
    <t>Engineering</t>
  </si>
  <si>
    <t>OpenAI API</t>
  </si>
  <si>
    <t>Decision Request</t>
  </si>
  <si>
    <t>Google Apps Script</t>
  </si>
  <si>
    <t>Complete</t>
  </si>
  <si>
    <t>Executive Summary</t>
  </si>
  <si>
    <t>Make.com</t>
  </si>
  <si>
    <t>Vendor</t>
  </si>
  <si>
    <t>Cross-functional Team</t>
  </si>
  <si>
    <t>Mitigated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</si>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</sst>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1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0" fillId="4" fontId="3" numFmtId="0" xfId="0" applyAlignment="1" applyFill="1" applyFont="1">
      <alignment horizontal="center" vertical="top"/>
    </xf>
    <xf borderId="0" fillId="5" fontId="2" numFmtId="0" xfId="0" applyAlignment="1" applyFill="1" applyFont="1">
      <alignment shrinkToFit="0" vertical="top" wrapText="1"/>
    </xf>
    <xf borderId="0" fillId="3" fontId="3" numFmtId="0" xfId="0" applyAlignment="1" applyFont="1">
      <alignment horizontal="center" shrinkToFit="0" vertical="top" wrapText="1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vertical="top"/>
    </xf>
    <xf borderId="0" fillId="0" fontId="2" numFmtId="9" xfId="0" applyAlignment="1" applyFont="1" applyNumberFormat="1">
      <alignment vertical="top"/>
    </xf>
    <xf borderId="0" fillId="0" fontId="2" numFmtId="164" xfId="0" applyAlignment="1" applyFont="1" applyNumberFormat="1">
      <alignment vertical="top"/>
    </xf>
    <xf borderId="0" fillId="0" fontId="2" numFmtId="9" xfId="0" applyAlignment="1" applyFont="1" applyNumberFormat="1">
      <alignment vertical="top"/>
    </xf>
    <xf borderId="0" fillId="0" fontId="2" numFmtId="1" xfId="0" applyAlignment="1" applyFont="1" applyNumberFormat="1">
      <alignment vertical="top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7F1D1D"/>
      </font>
      <fill>
        <patternFill patternType="solid">
          <fgColor rgb="FFFCA5A5"/>
          <bgColor rgb="FFFCA5A5"/>
        </patternFill>
      </fill>
      <border/>
    </dxf>
    <dxf>
      <font>
        <b/>
        <color rgb="FF7C2D12"/>
      </font>
      <fill>
        <patternFill patternType="solid">
          <fgColor rgb="FFFED7AA"/>
          <bgColor rgb="FFFED7AA"/>
        </patternFill>
      </fill>
      <border/>
    </dxf>
    <dxf>
      <font>
        <color rgb="FF713F12"/>
      </font>
      <fill>
        <patternFill patternType="solid">
          <fgColor rgb="FFFEF3C7"/>
          <bgColor rgb="FFFEF3C7"/>
        </patternFill>
      </fill>
      <border/>
    </dxf>
    <dxf>
      <font>
        <color rgb="FF14532D"/>
      </font>
      <fill>
        <patternFill patternType="solid">
          <fgColor rgb="FFDCFCE7"/>
          <bgColor rgb="FFDCFCE7"/>
        </patternFill>
      </fill>
      <border/>
    </dxf>
    <dxf>
      <font>
        <b/>
        <color rgb="FF713F12"/>
      </font>
      <fill>
        <patternFill patternType="solid">
          <fgColor rgb="FFFEF3C7"/>
          <bgColor rgb="FFFEF3C7"/>
        </patternFill>
      </fill>
      <border/>
    </dxf>
  </dxfs>
  <tableStyles count="5">
    <tableStyle count="3" pivot="0" name="Projects-style">
      <tableStyleElement dxfId="1" type="headerRow"/>
      <tableStyleElement dxfId="2" type="firstRowStripe"/>
      <tableStyleElement dxfId="3" type="secondRowStripe"/>
    </tableStyle>
    <tableStyle count="3" pivot="0" name="Risk Register-style">
      <tableStyleElement dxfId="1" type="headerRow"/>
      <tableStyleElement dxfId="2" type="firstRowStripe"/>
      <tableStyleElement dxfId="3" type="secondRowStripe"/>
    </tableStyle>
    <tableStyle count="3" pivot="0" name="Tasks-style">
      <tableStyleElement dxfId="1" type="headerRow"/>
      <tableStyleElement dxfId="2" type="firstRowStripe"/>
      <tableStyleElement dxfId="3" type="secondRowStripe"/>
    </tableStyle>
    <tableStyle count="3" pivot="0" name="Stakeholder Updates-style">
      <tableStyleElement dxfId="1" type="headerRow"/>
      <tableStyleElement dxfId="2" type="firstRowStripe"/>
      <tableStyleElement dxfId="3" type="secondRowStripe"/>
    </tableStyle>
    <tableStyle count="3" pivot="0" name="AI Risk 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Risk Level Breakdown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Dashboard!$D$4:$D$7</c:f>
            </c:strRef>
          </c:cat>
          <c:val>
            <c:numRef>
              <c:f>Dashboard!$E$4:$E$7</c:f>
              <c:numCache/>
            </c:numRef>
          </c:val>
        </c:ser>
        <c:axId val="1738301791"/>
        <c:axId val="1534320508"/>
      </c:barChart>
      <c:catAx>
        <c:axId val="1738301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320508"/>
      </c:catAx>
      <c:valAx>
        <c:axId val="1534320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30179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Risks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Dashboard!$A$16:$A$22</c:f>
            </c:strRef>
          </c:cat>
          <c:val>
            <c:numRef>
              <c:f>Dashboard!$B$16:$B$22</c:f>
              <c:numCache/>
            </c:numRef>
          </c:val>
        </c:ser>
        <c:axId val="525892429"/>
        <c:axId val="423759602"/>
      </c:barChart>
      <c:catAx>
        <c:axId val="525892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759602"/>
      </c:catAx>
      <c:valAx>
        <c:axId val="423759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89242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 Risks by Project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Open Risks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Dashboard!$D$16:$D$20</c:f>
            </c:strRef>
          </c:cat>
          <c:val>
            <c:numRef>
              <c:f>Dashboard!$E$16:$E$20</c:f>
              <c:numCache/>
            </c:numRef>
          </c:val>
        </c:ser>
        <c:axId val="1438390258"/>
        <c:axId val="158701672"/>
      </c:barChart>
      <c:catAx>
        <c:axId val="1438390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01672"/>
      </c:catAx>
      <c:valAx>
        <c:axId val="158701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39025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25780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19</xdr:row>
      <xdr:rowOff>0</xdr:rowOff>
    </xdr:from>
    <xdr:ext cx="5257800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2</xdr:row>
      <xdr:rowOff>0</xdr:rowOff>
    </xdr:from>
    <xdr:ext cx="5257800" cy="3200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" displayName="Table_1" name="Table_1" id="1">
  <tableColumns count="13">
    <tableColumn name="Project ID" id="1"/>
    <tableColumn name="Project Name" id="2"/>
    <tableColumn name="Project Owner" id="3"/>
    <tableColumn name="Business Goal" id="4"/>
    <tableColumn name="Start Date" id="5"/>
    <tableColumn name="Target Date" id="6"/>
    <tableColumn name="Status" id="7"/>
    <tableColumn name="Completion %" id="8"/>
    <tableColumn name="Overall Risk Level" id="9"/>
    <tableColumn name="Open Risks" id="10"/>
    <tableColumn name="Critical Risks" id="11"/>
    <tableColumn name="Last Updated" id="12"/>
    <tableColumn name="Notes" id="13"/>
  </tableColumns>
  <tableStyleInfo name="Projects-style" showColumnStripes="0" showFirstColumn="1" showLastColumn="1" showRowStripes="1"/>
</table>
</file>

<file path=xl/tables/table2.xml><?xml version="1.0" encoding="utf-8"?>
<table xmlns="http://schemas.openxmlformats.org/spreadsheetml/2006/main" ref="A1:P11" displayName="Table_2" name="Table_2" id="2">
  <tableColumns count="16">
    <tableColumn name="Risk ID" id="1"/>
    <tableColumn name="Project Name" id="2"/>
    <tableColumn name="Risk Category" id="3"/>
    <tableColumn name="Risk Description" id="4"/>
    <tableColumn name="Impact" id="5"/>
    <tableColumn name="Probability" id="6"/>
    <tableColumn name="Risk Score" id="7"/>
    <tableColumn name="Risk Level" id="8"/>
    <tableColumn name="Risk Owner" id="9"/>
    <tableColumn name="Due Date" id="10"/>
    <tableColumn name="Days Until Due" id="11"/>
    <tableColumn name="Mitigation Plan" id="12"/>
    <tableColumn name="Escalation Needed?" id="13"/>
    <tableColumn name="Status" id="14"/>
    <tableColumn name="Last Updated" id="15"/>
    <tableColumn name="PM Notes" id="16"/>
  </tableColumns>
  <tableStyleInfo name="Risk Register-style" showColumnStripes="0" showFirstColumn="1" showLastColumn="1" showRowStripes="1"/>
</table>
</file>

<file path=xl/tables/table3.xml><?xml version="1.0" encoding="utf-8"?>
<table xmlns="http://schemas.openxmlformats.org/spreadsheetml/2006/main" ref="A1:M11" displayName="Table_3" name="Table_3" id="3">
  <tableColumns count="13">
    <tableColumn name="Task ID" id="1"/>
    <tableColumn name="Project Name" id="2"/>
    <tableColumn name="Task Name" id="3"/>
    <tableColumn name="Task Owner" id="4"/>
    <tableColumn name="Priority" id="5"/>
    <tableColumn name="Status" id="6"/>
    <tableColumn name="Due Date" id="7"/>
    <tableColumn name="Days Until Due" id="8"/>
    <tableColumn name="Blocked?" id="9"/>
    <tableColumn name="Blocker Reason" id="10"/>
    <tableColumn name="Last Update" id="11"/>
    <tableColumn name="Stale Update?" id="12"/>
    <tableColumn name="PM Notes" id="13"/>
  </tableColumns>
  <tableStyleInfo name="Tasks-style" showColumnStripes="0" showFirstColumn="1" showLastColumn="1" showRowStripes="1"/>
</table>
</file>

<file path=xl/tables/table4.xml><?xml version="1.0" encoding="utf-8"?>
<table xmlns="http://schemas.openxmlformats.org/spreadsheetml/2006/main" ref="A1:L4" displayName="Table_4" name="Table_4" id="4">
  <tableColumns count="12">
    <tableColumn name="Update ID" id="1"/>
    <tableColumn name="Date" id="2"/>
    <tableColumn name="Project Name" id="3"/>
    <tableColumn name="Audience" id="4"/>
    <tableColumn name="Update Type" id="5"/>
    <tableColumn name="Summary" id="6"/>
    <tableColumn name="Key Risks" id="7"/>
    <tableColumn name="Decisions Needed" id="8"/>
    <tableColumn name="Action Items" id="9"/>
    <tableColumn name="Owner" id="10"/>
    <tableColumn name="Due Date" id="11"/>
    <tableColumn name="Status" id="12"/>
  </tableColumns>
  <tableStyleInfo name="Stakeholder Updates-style" showColumnStripes="0" showFirstColumn="1" showLastColumn="1" showRowStripes="1"/>
</table>
</file>

<file path=xl/tables/table5.xml><?xml version="1.0" encoding="utf-8"?>
<table xmlns="http://schemas.openxmlformats.org/spreadsheetml/2006/main" ref="A1:L3" displayName="Table_5" name="Table_5" id="5">
  <tableColumns count="12">
    <tableColumn name="Summary ID" id="1"/>
    <tableColumn name="Date Generated" id="2"/>
    <tableColumn name="Project Name" id="3"/>
    <tableColumn name="Overall Project Health" id="4"/>
    <tableColumn name="Top Risks" id="5"/>
    <tableColumn name="Risk Level" id="6"/>
    <tableColumn name="Why It Matters" id="7"/>
    <tableColumn name="Recommended PM Actions" id="8"/>
    <tableColumn name="Escalation Recommendation" id="9"/>
    <tableColumn name="Stakeholder Summary" id="10"/>
    <tableColumn name="Generated By" id="11"/>
    <tableColumn name="Notes" id="12"/>
  </tableColumns>
  <tableStyleInfo name="AI Risk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6.0"/>
    <col customWidth="1" min="3" max="3" width="8.63"/>
    <col customWidth="1" min="4" max="4" width="24.0"/>
    <col customWidth="1" min="5" max="5" width="8.88"/>
    <col customWidth="1" min="6" max="6" width="8.63"/>
    <col customWidth="1" min="7" max="7" width="26.0"/>
    <col customWidth="1" min="8" max="8" width="13.88"/>
    <col customWidth="1" min="9" max="26" width="8.63"/>
  </cols>
  <sheetData>
    <row r="1" ht="30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2"/>
      <c r="D3" s="3" t="s">
        <v>3</v>
      </c>
      <c r="E3" s="3" t="s">
        <v>4</v>
      </c>
      <c r="F3" s="2"/>
      <c r="G3" s="3" t="s">
        <v>5</v>
      </c>
      <c r="H3" s="3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5">
        <f>COUNTA(Projects!B2:B100)</f>
        <v>5</v>
      </c>
      <c r="C4" s="2"/>
      <c r="D4" s="2" t="s">
        <v>8</v>
      </c>
      <c r="E4" s="2">
        <f>COUNTIF('Risk Register'!H2:H100,D4)</f>
        <v>3</v>
      </c>
      <c r="F4" s="2"/>
      <c r="G4" s="2" t="s">
        <v>9</v>
      </c>
      <c r="H4" s="2" t="str">
        <f t="array" ref="H4">XLOOKUP(G4,Projects!B:B,Projects!I:I,"")</f>
        <v>Critical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10</v>
      </c>
      <c r="B5" s="5">
        <f>COUNTIF('Risk Register'!N2:N100,"Open")+COUNTIF('Risk Register'!N2:N100,"Monitoring")</f>
        <v>10</v>
      </c>
      <c r="C5" s="2"/>
      <c r="D5" s="2" t="s">
        <v>11</v>
      </c>
      <c r="E5" s="2">
        <f>COUNTIF('Risk Register'!H2:H100,D5)</f>
        <v>4</v>
      </c>
      <c r="F5" s="2"/>
      <c r="G5" s="2" t="s">
        <v>12</v>
      </c>
      <c r="H5" s="2" t="str">
        <f t="array" ref="H5">XLOOKUP(G5,Projects!B:B,Projects!I:I,"")</f>
        <v>Critical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13</v>
      </c>
      <c r="B6" s="5">
        <f>COUNTIF('Risk Register'!H2:H100,"Critical")</f>
        <v>3</v>
      </c>
      <c r="C6" s="2"/>
      <c r="D6" s="2" t="s">
        <v>14</v>
      </c>
      <c r="E6" s="2">
        <f>COUNTIF('Risk Register'!H2:H100,D6)</f>
        <v>3</v>
      </c>
      <c r="F6" s="2"/>
      <c r="G6" s="2" t="s">
        <v>15</v>
      </c>
      <c r="H6" s="2" t="str">
        <f t="array" ref="H6">XLOOKUP(G6,Projects!B:B,Projects!I:I,"")</f>
        <v>Critical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16</v>
      </c>
      <c r="B7" s="5">
        <f>COUNTIF('Risk Register'!H2:H100,"High")</f>
        <v>4</v>
      </c>
      <c r="C7" s="2"/>
      <c r="D7" s="2" t="s">
        <v>17</v>
      </c>
      <c r="E7" s="2">
        <f>COUNTIF('Risk Register'!H2:H100,D7)</f>
        <v>0</v>
      </c>
      <c r="F7" s="2"/>
      <c r="G7" s="2" t="s">
        <v>18</v>
      </c>
      <c r="H7" s="2" t="str">
        <f t="array" ref="H7">XLOOKUP(G7,Projects!B:B,Projects!I:I,"")</f>
        <v>High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19</v>
      </c>
      <c r="B8" s="5">
        <f>COUNTIF('Risk Register'!H2:H100,"Medium")</f>
        <v>3</v>
      </c>
      <c r="C8" s="2"/>
      <c r="D8" s="2"/>
      <c r="E8" s="2"/>
      <c r="F8" s="2"/>
      <c r="G8" s="2" t="s">
        <v>20</v>
      </c>
      <c r="H8" s="2" t="str">
        <f t="array" ref="H8">XLOOKUP(G8,Projects!B:B,Projects!I:I,"")</f>
        <v>High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21</v>
      </c>
      <c r="B9" s="5">
        <f>COUNTIFS('Risk Register'!K2:K100,"&lt;0",'Risk Register'!N2:N100,"&lt;&gt;Closed")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22</v>
      </c>
      <c r="B10" s="5">
        <f>COUNTIF('Risk Register'!M2:M100,"Yes")</f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23</v>
      </c>
      <c r="B11" s="5">
        <f>COUNTIF(Tasks!I2:I100,"Yes")</f>
        <v>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24</v>
      </c>
      <c r="B12" s="5">
        <f>COUNTIF(Tasks!L2:L100,"Yes")</f>
        <v>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25</v>
      </c>
      <c r="B15" s="3" t="s">
        <v>4</v>
      </c>
      <c r="C15" s="2"/>
      <c r="D15" s="3" t="s">
        <v>5</v>
      </c>
      <c r="E15" s="3" t="s">
        <v>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27</v>
      </c>
      <c r="B16" s="2">
        <f>COUNTIF('Risk Register'!C2:C100,A16)</f>
        <v>2</v>
      </c>
      <c r="C16" s="2"/>
      <c r="D16" s="2" t="s">
        <v>9</v>
      </c>
      <c r="E16" s="2">
        <f>COUNTIFS('Risk Register'!B2:B100,D16,'Risk Register'!N2:N100,"&lt;&gt;Closed")</f>
        <v>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28</v>
      </c>
      <c r="B17" s="2">
        <f>COUNTIF('Risk Register'!C2:C100,A17)</f>
        <v>2</v>
      </c>
      <c r="C17" s="2"/>
      <c r="D17" s="2" t="s">
        <v>12</v>
      </c>
      <c r="E17" s="2">
        <f>COUNTIFS('Risk Register'!B2:B100,D17,'Risk Register'!N2:N100,"&lt;&gt;Closed")</f>
        <v>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29</v>
      </c>
      <c r="B18" s="2">
        <f>COUNTIF('Risk Register'!C2:C100,A18)</f>
        <v>2</v>
      </c>
      <c r="C18" s="2"/>
      <c r="D18" s="2" t="s">
        <v>15</v>
      </c>
      <c r="E18" s="2">
        <f>COUNTIFS('Risk Register'!B2:B100,D18,'Risk Register'!N2:N100,"&lt;&gt;Closed")</f>
        <v>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30</v>
      </c>
      <c r="B19" s="2">
        <f>COUNTIF('Risk Register'!C2:C100,A19)</f>
        <v>1</v>
      </c>
      <c r="C19" s="2"/>
      <c r="D19" s="2" t="s">
        <v>18</v>
      </c>
      <c r="E19" s="2">
        <f>COUNTIFS('Risk Register'!B2:B100,D19,'Risk Register'!N2:N100,"&lt;&gt;Closed")</f>
        <v>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31</v>
      </c>
      <c r="B20" s="2">
        <f>COUNTIF('Risk Register'!C2:C100,A20)</f>
        <v>1</v>
      </c>
      <c r="C20" s="2"/>
      <c r="D20" s="2" t="s">
        <v>20</v>
      </c>
      <c r="E20" s="2">
        <f>COUNTIFS('Risk Register'!B2:B100,D20,'Risk Register'!N2:N100,"&lt;&gt;Closed")</f>
        <v>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32</v>
      </c>
      <c r="B21" s="2">
        <f>COUNTIF('Risk Register'!C2:C100,A21)</f>
        <v>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33</v>
      </c>
      <c r="B22" s="2">
        <f>COUNTIF('Risk Register'!C2:C100,A22)</f>
        <v>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34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35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5:H25"/>
    <mergeCell ref="A26:H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9.88"/>
    <col customWidth="1" min="3" max="3" width="14.0"/>
    <col customWidth="1" min="4" max="4" width="36.0"/>
    <col customWidth="1" min="5" max="5" width="10.75"/>
    <col customWidth="1" min="6" max="6" width="11.75"/>
    <col customWidth="1" min="7" max="7" width="9.13"/>
    <col customWidth="1" min="8" max="8" width="13.63"/>
    <col customWidth="1" min="9" max="9" width="16.38"/>
    <col customWidth="1" min="10" max="10" width="11.38"/>
    <col customWidth="1" min="11" max="11" width="12.5"/>
    <col customWidth="1" min="12" max="12" width="13.13"/>
    <col customWidth="1" min="13" max="13" width="42.0"/>
    <col customWidth="1" min="14" max="26" width="8.63"/>
  </cols>
  <sheetData>
    <row r="1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6</v>
      </c>
      <c r="J1" s="8" t="s">
        <v>26</v>
      </c>
      <c r="K1" s="8" t="s">
        <v>13</v>
      </c>
      <c r="L1" s="8" t="s">
        <v>44</v>
      </c>
      <c r="M1" s="8" t="s">
        <v>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46</v>
      </c>
      <c r="B2" s="9" t="s">
        <v>9</v>
      </c>
      <c r="C2" s="9" t="s">
        <v>47</v>
      </c>
      <c r="D2" s="9" t="s">
        <v>48</v>
      </c>
      <c r="E2" s="10">
        <v>46204.0</v>
      </c>
      <c r="F2" s="10">
        <v>46249.0</v>
      </c>
      <c r="G2" s="9" t="s">
        <v>49</v>
      </c>
      <c r="H2" s="11">
        <v>0.45</v>
      </c>
      <c r="I2" s="9" t="str">
        <f>IF(COUNTIFS('Risk Register'!$B:$B,B2,'Risk Register'!$H:$H,"Critical",'Risk Register'!$N:$N,"&lt;&gt;Closed")&gt;0,"Critical",IF(COUNTIFS('Risk Register'!$B:$B,B2,'Risk Register'!$H:$H,"High",'Risk Register'!$N:$N,"&lt;&gt;Closed")&gt;0,"High",IF(COUNTIFS('Risk Register'!$B:$B,B2,'Risk Register'!$H:$H,"Medium",'Risk Register'!$N:$N,"&lt;&gt;Closed")&gt;0,"Medium","Low")))</f>
        <v>Critical</v>
      </c>
      <c r="J2" s="9">
        <f>COUNTIFS('Risk Register'!$B:$B,B2,'Risk Register'!$N:$N,"&lt;&gt;Closed",'Risk Register'!$N:$N,"&lt;&gt;")</f>
        <v>2</v>
      </c>
      <c r="K2" s="9">
        <f>COUNTIFS('Risk Register'!$B:$B,B2,'Risk Register'!$H:$H,"Critical",'Risk Register'!$N:$N,"&lt;&gt;Closed")</f>
        <v>1</v>
      </c>
      <c r="L2" s="10">
        <v>46206.0</v>
      </c>
      <c r="M2" s="9" t="s">
        <v>50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51</v>
      </c>
      <c r="B3" s="9" t="s">
        <v>12</v>
      </c>
      <c r="C3" s="9" t="s">
        <v>52</v>
      </c>
      <c r="D3" s="9" t="s">
        <v>53</v>
      </c>
      <c r="E3" s="10">
        <v>46193.0</v>
      </c>
      <c r="F3" s="10">
        <v>46235.0</v>
      </c>
      <c r="G3" s="9" t="s">
        <v>54</v>
      </c>
      <c r="H3" s="11">
        <v>0.35</v>
      </c>
      <c r="I3" s="9" t="str">
        <f>IF(COUNTIFS('Risk Register'!$B:$B,B3,'Risk Register'!$H:$H,"Critical",'Risk Register'!$N:$N,"&lt;&gt;Closed")&gt;0,"Critical",IF(COUNTIFS('Risk Register'!$B:$B,B3,'Risk Register'!$H:$H,"High",'Risk Register'!$N:$N,"&lt;&gt;Closed")&gt;0,"High",IF(COUNTIFS('Risk Register'!$B:$B,B3,'Risk Register'!$H:$H,"Medium",'Risk Register'!$N:$N,"&lt;&gt;Closed")&gt;0,"Medium","Low")))</f>
        <v>Critical</v>
      </c>
      <c r="J3" s="9">
        <f>COUNTIFS('Risk Register'!$B:$B,B3,'Risk Register'!$N:$N,"&lt;&gt;Closed",'Risk Register'!$N:$N,"&lt;&gt;")</f>
        <v>2</v>
      </c>
      <c r="K3" s="9">
        <f>COUNTIFS('Risk Register'!$B:$B,B3,'Risk Register'!$H:$H,"Critical",'Risk Register'!$N:$N,"&lt;&gt;Closed")</f>
        <v>1</v>
      </c>
      <c r="L3" s="10">
        <v>46206.0</v>
      </c>
      <c r="M3" s="9" t="s">
        <v>55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56</v>
      </c>
      <c r="B4" s="9" t="s">
        <v>15</v>
      </c>
      <c r="C4" s="9" t="s">
        <v>57</v>
      </c>
      <c r="D4" s="9" t="s">
        <v>58</v>
      </c>
      <c r="E4" s="10">
        <v>46198.0</v>
      </c>
      <c r="F4" s="10">
        <v>46231.0</v>
      </c>
      <c r="G4" s="9" t="s">
        <v>49</v>
      </c>
      <c r="H4" s="11">
        <v>0.55</v>
      </c>
      <c r="I4" s="9" t="str">
        <f>IF(COUNTIFS('Risk Register'!$B:$B,B4,'Risk Register'!$H:$H,"Critical",'Risk Register'!$N:$N,"&lt;&gt;Closed")&gt;0,"Critical",IF(COUNTIFS('Risk Register'!$B:$B,B4,'Risk Register'!$H:$H,"High",'Risk Register'!$N:$N,"&lt;&gt;Closed")&gt;0,"High",IF(COUNTIFS('Risk Register'!$B:$B,B4,'Risk Register'!$H:$H,"Medium",'Risk Register'!$N:$N,"&lt;&gt;Closed")&gt;0,"Medium","Low")))</f>
        <v>Critical</v>
      </c>
      <c r="J4" s="9">
        <f>COUNTIFS('Risk Register'!$B:$B,B4,'Risk Register'!$N:$N,"&lt;&gt;Closed",'Risk Register'!$N:$N,"&lt;&gt;")</f>
        <v>2</v>
      </c>
      <c r="K4" s="9">
        <f>COUNTIFS('Risk Register'!$B:$B,B4,'Risk Register'!$H:$H,"Critical",'Risk Register'!$N:$N,"&lt;&gt;Closed")</f>
        <v>1</v>
      </c>
      <c r="L4" s="10">
        <v>46206.0</v>
      </c>
      <c r="M4" s="9" t="s">
        <v>59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60</v>
      </c>
      <c r="B5" s="9" t="s">
        <v>18</v>
      </c>
      <c r="C5" s="9" t="s">
        <v>61</v>
      </c>
      <c r="D5" s="9" t="s">
        <v>62</v>
      </c>
      <c r="E5" s="10">
        <v>46205.0</v>
      </c>
      <c r="F5" s="10">
        <v>46244.0</v>
      </c>
      <c r="G5" s="9" t="s">
        <v>63</v>
      </c>
      <c r="H5" s="11">
        <v>0.1</v>
      </c>
      <c r="I5" s="9" t="str">
        <f>IF(COUNTIFS('Risk Register'!$B:$B,B5,'Risk Register'!$H:$H,"Critical",'Risk Register'!$N:$N,"&lt;&gt;Closed")&gt;0,"Critical",IF(COUNTIFS('Risk Register'!$B:$B,B5,'Risk Register'!$H:$H,"High",'Risk Register'!$N:$N,"&lt;&gt;Closed")&gt;0,"High",IF(COUNTIFS('Risk Register'!$B:$B,B5,'Risk Register'!$H:$H,"Medium",'Risk Register'!$N:$N,"&lt;&gt;Closed")&gt;0,"Medium","Low")))</f>
        <v>High</v>
      </c>
      <c r="J5" s="9">
        <f>COUNTIFS('Risk Register'!$B:$B,B5,'Risk Register'!$N:$N,"&lt;&gt;Closed",'Risk Register'!$N:$N,"&lt;&gt;")</f>
        <v>2</v>
      </c>
      <c r="K5" s="9">
        <f>COUNTIFS('Risk Register'!$B:$B,B5,'Risk Register'!$H:$H,"Critical",'Risk Register'!$N:$N,"&lt;&gt;Closed")</f>
        <v>0</v>
      </c>
      <c r="L5" s="10">
        <v>46206.0</v>
      </c>
      <c r="M5" s="9" t="s">
        <v>64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65</v>
      </c>
      <c r="B6" s="9" t="s">
        <v>20</v>
      </c>
      <c r="C6" s="9" t="s">
        <v>66</v>
      </c>
      <c r="D6" s="9" t="s">
        <v>67</v>
      </c>
      <c r="E6" s="10">
        <v>46204.0</v>
      </c>
      <c r="F6" s="10">
        <v>46228.0</v>
      </c>
      <c r="G6" s="9" t="s">
        <v>49</v>
      </c>
      <c r="H6" s="11">
        <v>0.5</v>
      </c>
      <c r="I6" s="9" t="str">
        <f>IF(COUNTIFS('Risk Register'!$B:$B,B6,'Risk Register'!$H:$H,"Critical",'Risk Register'!$N:$N,"&lt;&gt;Closed")&gt;0,"Critical",IF(COUNTIFS('Risk Register'!$B:$B,B6,'Risk Register'!$H:$H,"High",'Risk Register'!$N:$N,"&lt;&gt;Closed")&gt;0,"High",IF(COUNTIFS('Risk Register'!$B:$B,B6,'Risk Register'!$H:$H,"Medium",'Risk Register'!$N:$N,"&lt;&gt;Closed")&gt;0,"Medium","Low")))</f>
        <v>High</v>
      </c>
      <c r="J6" s="9">
        <f>COUNTIFS('Risk Register'!$B:$B,B6,'Risk Register'!$N:$N,"&lt;&gt;Closed",'Risk Register'!$N:$N,"&lt;&gt;")</f>
        <v>2</v>
      </c>
      <c r="K6" s="9">
        <f>COUNTIFS('Risk Register'!$B:$B,B6,'Risk Register'!$H:$H,"Critical",'Risk Register'!$N:$N,"&lt;&gt;Closed")</f>
        <v>0</v>
      </c>
      <c r="L6" s="10">
        <v>46206.0</v>
      </c>
      <c r="M6" s="9" t="s">
        <v>68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12"/>
      <c r="F7" s="12"/>
      <c r="G7" s="2"/>
      <c r="H7" s="13"/>
      <c r="I7" s="2"/>
      <c r="J7" s="2"/>
      <c r="K7" s="2"/>
      <c r="L7" s="1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12"/>
      <c r="F8" s="12"/>
      <c r="G8" s="2"/>
      <c r="H8" s="13"/>
      <c r="I8" s="2"/>
      <c r="J8" s="2"/>
      <c r="K8" s="2"/>
      <c r="L8" s="1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12"/>
      <c r="F9" s="12"/>
      <c r="G9" s="2"/>
      <c r="H9" s="13"/>
      <c r="I9" s="2"/>
      <c r="J9" s="2"/>
      <c r="K9" s="2"/>
      <c r="L9" s="1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12"/>
      <c r="F10" s="12"/>
      <c r="G10" s="2"/>
      <c r="H10" s="13"/>
      <c r="I10" s="2"/>
      <c r="J10" s="2"/>
      <c r="K10" s="2"/>
      <c r="L10" s="1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12"/>
      <c r="F11" s="12"/>
      <c r="G11" s="2"/>
      <c r="H11" s="13"/>
      <c r="I11" s="2"/>
      <c r="J11" s="2"/>
      <c r="K11" s="2"/>
      <c r="L11" s="1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12"/>
      <c r="F12" s="12"/>
      <c r="G12" s="2"/>
      <c r="H12" s="13"/>
      <c r="I12" s="2"/>
      <c r="J12" s="2"/>
      <c r="K12" s="2"/>
      <c r="L12" s="1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12"/>
      <c r="F13" s="12"/>
      <c r="G13" s="2"/>
      <c r="H13" s="13"/>
      <c r="I13" s="2"/>
      <c r="J13" s="2"/>
      <c r="K13" s="2"/>
      <c r="L13" s="1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12"/>
      <c r="F14" s="12"/>
      <c r="G14" s="2"/>
      <c r="H14" s="13"/>
      <c r="I14" s="2"/>
      <c r="J14" s="2"/>
      <c r="K14" s="2"/>
      <c r="L14" s="1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12"/>
      <c r="F15" s="12"/>
      <c r="G15" s="2"/>
      <c r="H15" s="13"/>
      <c r="I15" s="2"/>
      <c r="J15" s="2"/>
      <c r="K15" s="2"/>
      <c r="L15" s="1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12"/>
      <c r="F16" s="12"/>
      <c r="G16" s="2"/>
      <c r="H16" s="13"/>
      <c r="I16" s="2"/>
      <c r="J16" s="2"/>
      <c r="K16" s="2"/>
      <c r="L16" s="1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12"/>
      <c r="F17" s="12"/>
      <c r="G17" s="2"/>
      <c r="H17" s="13"/>
      <c r="I17" s="2"/>
      <c r="J17" s="2"/>
      <c r="K17" s="2"/>
      <c r="L17" s="1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12"/>
      <c r="F18" s="12"/>
      <c r="G18" s="2"/>
      <c r="H18" s="13"/>
      <c r="I18" s="2"/>
      <c r="J18" s="2"/>
      <c r="K18" s="2"/>
      <c r="L18" s="1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12"/>
      <c r="F19" s="12"/>
      <c r="G19" s="2"/>
      <c r="H19" s="13"/>
      <c r="I19" s="2"/>
      <c r="J19" s="2"/>
      <c r="K19" s="2"/>
      <c r="L19" s="1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12"/>
      <c r="F20" s="12"/>
      <c r="G20" s="2"/>
      <c r="H20" s="13"/>
      <c r="I20" s="2"/>
      <c r="J20" s="2"/>
      <c r="K20" s="2"/>
      <c r="L20" s="1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12"/>
      <c r="F21" s="12"/>
      <c r="G21" s="2"/>
      <c r="H21" s="13"/>
      <c r="I21" s="2"/>
      <c r="J21" s="2"/>
      <c r="K21" s="2"/>
      <c r="L21" s="1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12"/>
      <c r="F22" s="12"/>
      <c r="G22" s="2"/>
      <c r="H22" s="13"/>
      <c r="I22" s="2"/>
      <c r="J22" s="2"/>
      <c r="K22" s="2"/>
      <c r="L22" s="1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12"/>
      <c r="F23" s="12"/>
      <c r="G23" s="2"/>
      <c r="H23" s="13"/>
      <c r="I23" s="2"/>
      <c r="J23" s="2"/>
      <c r="K23" s="2"/>
      <c r="L23" s="1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12"/>
      <c r="F24" s="12"/>
      <c r="G24" s="2"/>
      <c r="H24" s="13"/>
      <c r="I24" s="2"/>
      <c r="J24" s="2"/>
      <c r="K24" s="2"/>
      <c r="L24" s="1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12"/>
      <c r="F25" s="12"/>
      <c r="G25" s="2"/>
      <c r="H25" s="13"/>
      <c r="I25" s="2"/>
      <c r="J25" s="2"/>
      <c r="K25" s="2"/>
      <c r="L25" s="1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12"/>
      <c r="F26" s="12"/>
      <c r="G26" s="2"/>
      <c r="H26" s="13"/>
      <c r="I26" s="2"/>
      <c r="J26" s="2"/>
      <c r="K26" s="2"/>
      <c r="L26" s="1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12"/>
      <c r="F27" s="12"/>
      <c r="G27" s="2"/>
      <c r="H27" s="13"/>
      <c r="I27" s="2"/>
      <c r="J27" s="2"/>
      <c r="K27" s="2"/>
      <c r="L27" s="1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12"/>
      <c r="F28" s="12"/>
      <c r="G28" s="2"/>
      <c r="H28" s="13"/>
      <c r="I28" s="2"/>
      <c r="J28" s="2"/>
      <c r="K28" s="2"/>
      <c r="L28" s="1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12"/>
      <c r="F29" s="12"/>
      <c r="G29" s="2"/>
      <c r="H29" s="13"/>
      <c r="I29" s="2"/>
      <c r="J29" s="2"/>
      <c r="K29" s="2"/>
      <c r="L29" s="1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12"/>
      <c r="F30" s="12"/>
      <c r="G30" s="2"/>
      <c r="H30" s="13"/>
      <c r="I30" s="2"/>
      <c r="J30" s="2"/>
      <c r="K30" s="2"/>
      <c r="L30" s="1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12"/>
      <c r="F31" s="12"/>
      <c r="G31" s="2"/>
      <c r="H31" s="13"/>
      <c r="I31" s="2"/>
      <c r="J31" s="2"/>
      <c r="K31" s="2"/>
      <c r="L31" s="1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12"/>
      <c r="F32" s="12"/>
      <c r="G32" s="2"/>
      <c r="H32" s="13"/>
      <c r="I32" s="2"/>
      <c r="J32" s="2"/>
      <c r="K32" s="2"/>
      <c r="L32" s="1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12"/>
      <c r="F33" s="12"/>
      <c r="G33" s="2"/>
      <c r="H33" s="13"/>
      <c r="I33" s="2"/>
      <c r="J33" s="2"/>
      <c r="K33" s="2"/>
      <c r="L33" s="1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12"/>
      <c r="F34" s="12"/>
      <c r="G34" s="2"/>
      <c r="H34" s="13"/>
      <c r="I34" s="2"/>
      <c r="J34" s="2"/>
      <c r="K34" s="2"/>
      <c r="L34" s="1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12"/>
      <c r="F35" s="12"/>
      <c r="G35" s="2"/>
      <c r="H35" s="13"/>
      <c r="I35" s="2"/>
      <c r="J35" s="2"/>
      <c r="K35" s="2"/>
      <c r="L35" s="1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12"/>
      <c r="F36" s="12"/>
      <c r="G36" s="2"/>
      <c r="H36" s="13"/>
      <c r="I36" s="2"/>
      <c r="J36" s="2"/>
      <c r="K36" s="2"/>
      <c r="L36" s="1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12"/>
      <c r="F37" s="12"/>
      <c r="G37" s="2"/>
      <c r="H37" s="13"/>
      <c r="I37" s="2"/>
      <c r="J37" s="2"/>
      <c r="K37" s="2"/>
      <c r="L37" s="1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12"/>
      <c r="F38" s="12"/>
      <c r="G38" s="2"/>
      <c r="H38" s="13"/>
      <c r="I38" s="2"/>
      <c r="J38" s="2"/>
      <c r="K38" s="2"/>
      <c r="L38" s="1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12"/>
      <c r="F39" s="12"/>
      <c r="G39" s="2"/>
      <c r="H39" s="13"/>
      <c r="I39" s="2"/>
      <c r="J39" s="2"/>
      <c r="K39" s="2"/>
      <c r="L39" s="1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12"/>
      <c r="F40" s="12"/>
      <c r="G40" s="2"/>
      <c r="H40" s="13"/>
      <c r="I40" s="2"/>
      <c r="J40" s="2"/>
      <c r="K40" s="2"/>
      <c r="L40" s="1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12"/>
      <c r="F41" s="12"/>
      <c r="G41" s="2"/>
      <c r="H41" s="13"/>
      <c r="I41" s="2"/>
      <c r="J41" s="2"/>
      <c r="K41" s="2"/>
      <c r="L41" s="1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12"/>
      <c r="F42" s="12"/>
      <c r="G42" s="2"/>
      <c r="H42" s="13"/>
      <c r="I42" s="2"/>
      <c r="J42" s="2"/>
      <c r="K42" s="2"/>
      <c r="L42" s="1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12"/>
      <c r="F43" s="12"/>
      <c r="G43" s="2"/>
      <c r="H43" s="13"/>
      <c r="I43" s="2"/>
      <c r="J43" s="2"/>
      <c r="K43" s="2"/>
      <c r="L43" s="1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12"/>
      <c r="F44" s="12"/>
      <c r="G44" s="2"/>
      <c r="H44" s="13"/>
      <c r="I44" s="2"/>
      <c r="J44" s="2"/>
      <c r="K44" s="2"/>
      <c r="L44" s="1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12"/>
      <c r="F45" s="12"/>
      <c r="G45" s="2"/>
      <c r="H45" s="13"/>
      <c r="I45" s="2"/>
      <c r="J45" s="2"/>
      <c r="K45" s="2"/>
      <c r="L45" s="1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12"/>
      <c r="F46" s="12"/>
      <c r="G46" s="2"/>
      <c r="H46" s="13"/>
      <c r="I46" s="2"/>
      <c r="J46" s="2"/>
      <c r="K46" s="2"/>
      <c r="L46" s="1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12"/>
      <c r="F47" s="12"/>
      <c r="G47" s="2"/>
      <c r="H47" s="13"/>
      <c r="I47" s="2"/>
      <c r="J47" s="2"/>
      <c r="K47" s="2"/>
      <c r="L47" s="1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12"/>
      <c r="F48" s="12"/>
      <c r="G48" s="2"/>
      <c r="H48" s="13"/>
      <c r="I48" s="2"/>
      <c r="J48" s="2"/>
      <c r="K48" s="2"/>
      <c r="L48" s="1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12"/>
      <c r="F49" s="12"/>
      <c r="G49" s="2"/>
      <c r="H49" s="13"/>
      <c r="I49" s="2"/>
      <c r="J49" s="2"/>
      <c r="K49" s="2"/>
      <c r="L49" s="1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12"/>
      <c r="F50" s="12"/>
      <c r="G50" s="2"/>
      <c r="H50" s="13"/>
      <c r="I50" s="2"/>
      <c r="J50" s="2"/>
      <c r="K50" s="2"/>
      <c r="L50" s="1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12"/>
      <c r="F51" s="12"/>
      <c r="G51" s="2"/>
      <c r="H51" s="13"/>
      <c r="I51" s="2"/>
      <c r="J51" s="2"/>
      <c r="K51" s="2"/>
      <c r="L51" s="1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12"/>
      <c r="F52" s="12"/>
      <c r="G52" s="2"/>
      <c r="H52" s="13"/>
      <c r="I52" s="2"/>
      <c r="J52" s="2"/>
      <c r="K52" s="2"/>
      <c r="L52" s="1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12"/>
      <c r="F53" s="12"/>
      <c r="G53" s="2"/>
      <c r="H53" s="13"/>
      <c r="I53" s="2"/>
      <c r="J53" s="2"/>
      <c r="K53" s="2"/>
      <c r="L53" s="1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12"/>
      <c r="F54" s="12"/>
      <c r="G54" s="2"/>
      <c r="H54" s="13"/>
      <c r="I54" s="2"/>
      <c r="J54" s="2"/>
      <c r="K54" s="2"/>
      <c r="L54" s="1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12"/>
      <c r="F55" s="12"/>
      <c r="G55" s="2"/>
      <c r="H55" s="13"/>
      <c r="I55" s="2"/>
      <c r="J55" s="2"/>
      <c r="K55" s="2"/>
      <c r="L55" s="1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12"/>
      <c r="F56" s="12"/>
      <c r="G56" s="2"/>
      <c r="H56" s="13"/>
      <c r="I56" s="2"/>
      <c r="J56" s="2"/>
      <c r="K56" s="2"/>
      <c r="L56" s="1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12"/>
      <c r="F57" s="12"/>
      <c r="G57" s="2"/>
      <c r="H57" s="13"/>
      <c r="I57" s="2"/>
      <c r="J57" s="2"/>
      <c r="K57" s="2"/>
      <c r="L57" s="1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12"/>
      <c r="F58" s="12"/>
      <c r="G58" s="2"/>
      <c r="H58" s="13"/>
      <c r="I58" s="2"/>
      <c r="J58" s="2"/>
      <c r="K58" s="2"/>
      <c r="L58" s="1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12"/>
      <c r="F59" s="12"/>
      <c r="G59" s="2"/>
      <c r="H59" s="13"/>
      <c r="I59" s="2"/>
      <c r="J59" s="2"/>
      <c r="K59" s="2"/>
      <c r="L59" s="1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12"/>
      <c r="F60" s="12"/>
      <c r="G60" s="2"/>
      <c r="H60" s="13"/>
      <c r="I60" s="2"/>
      <c r="J60" s="2"/>
      <c r="K60" s="2"/>
      <c r="L60" s="1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12"/>
      <c r="F61" s="12"/>
      <c r="G61" s="2"/>
      <c r="H61" s="13"/>
      <c r="I61" s="2"/>
      <c r="J61" s="2"/>
      <c r="K61" s="2"/>
      <c r="L61" s="1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12"/>
      <c r="F62" s="12"/>
      <c r="G62" s="2"/>
      <c r="H62" s="13"/>
      <c r="I62" s="2"/>
      <c r="J62" s="2"/>
      <c r="K62" s="2"/>
      <c r="L62" s="1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12"/>
      <c r="F63" s="12"/>
      <c r="G63" s="2"/>
      <c r="H63" s="13"/>
      <c r="I63" s="2"/>
      <c r="J63" s="2"/>
      <c r="K63" s="2"/>
      <c r="L63" s="1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12"/>
      <c r="F64" s="12"/>
      <c r="G64" s="2"/>
      <c r="H64" s="13"/>
      <c r="I64" s="2"/>
      <c r="J64" s="2"/>
      <c r="K64" s="2"/>
      <c r="L64" s="1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12"/>
      <c r="F65" s="12"/>
      <c r="G65" s="2"/>
      <c r="H65" s="13"/>
      <c r="I65" s="2"/>
      <c r="J65" s="2"/>
      <c r="K65" s="2"/>
      <c r="L65" s="1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12"/>
      <c r="F66" s="12"/>
      <c r="G66" s="2"/>
      <c r="H66" s="13"/>
      <c r="I66" s="2"/>
      <c r="J66" s="2"/>
      <c r="K66" s="2"/>
      <c r="L66" s="1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12"/>
      <c r="F67" s="12"/>
      <c r="G67" s="2"/>
      <c r="H67" s="13"/>
      <c r="I67" s="2"/>
      <c r="J67" s="2"/>
      <c r="K67" s="2"/>
      <c r="L67" s="1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12"/>
      <c r="F68" s="12"/>
      <c r="G68" s="2"/>
      <c r="H68" s="13"/>
      <c r="I68" s="2"/>
      <c r="J68" s="2"/>
      <c r="K68" s="2"/>
      <c r="L68" s="1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12"/>
      <c r="F69" s="12"/>
      <c r="G69" s="2"/>
      <c r="H69" s="13"/>
      <c r="I69" s="2"/>
      <c r="J69" s="2"/>
      <c r="K69" s="2"/>
      <c r="L69" s="1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12"/>
      <c r="F70" s="12"/>
      <c r="G70" s="2"/>
      <c r="H70" s="13"/>
      <c r="I70" s="2"/>
      <c r="J70" s="2"/>
      <c r="K70" s="2"/>
      <c r="L70" s="1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12"/>
      <c r="F71" s="12"/>
      <c r="G71" s="2"/>
      <c r="H71" s="13"/>
      <c r="I71" s="2"/>
      <c r="J71" s="2"/>
      <c r="K71" s="2"/>
      <c r="L71" s="1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12"/>
      <c r="F72" s="12"/>
      <c r="G72" s="2"/>
      <c r="H72" s="13"/>
      <c r="I72" s="2"/>
      <c r="J72" s="2"/>
      <c r="K72" s="2"/>
      <c r="L72" s="1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12"/>
      <c r="F73" s="12"/>
      <c r="G73" s="2"/>
      <c r="H73" s="13"/>
      <c r="I73" s="2"/>
      <c r="J73" s="2"/>
      <c r="K73" s="2"/>
      <c r="L73" s="1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12"/>
      <c r="F74" s="12"/>
      <c r="G74" s="2"/>
      <c r="H74" s="13"/>
      <c r="I74" s="2"/>
      <c r="J74" s="2"/>
      <c r="K74" s="2"/>
      <c r="L74" s="1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12"/>
      <c r="F75" s="12"/>
      <c r="G75" s="2"/>
      <c r="H75" s="13"/>
      <c r="I75" s="2"/>
      <c r="J75" s="2"/>
      <c r="K75" s="2"/>
      <c r="L75" s="1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12"/>
      <c r="F76" s="12"/>
      <c r="G76" s="2"/>
      <c r="H76" s="13"/>
      <c r="I76" s="2"/>
      <c r="J76" s="2"/>
      <c r="K76" s="2"/>
      <c r="L76" s="1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12"/>
      <c r="F77" s="12"/>
      <c r="G77" s="2"/>
      <c r="H77" s="13"/>
      <c r="I77" s="2"/>
      <c r="J77" s="2"/>
      <c r="K77" s="2"/>
      <c r="L77" s="1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12"/>
      <c r="F78" s="12"/>
      <c r="G78" s="2"/>
      <c r="H78" s="13"/>
      <c r="I78" s="2"/>
      <c r="J78" s="2"/>
      <c r="K78" s="2"/>
      <c r="L78" s="1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12"/>
      <c r="F79" s="12"/>
      <c r="G79" s="2"/>
      <c r="H79" s="13"/>
      <c r="I79" s="2"/>
      <c r="J79" s="2"/>
      <c r="K79" s="2"/>
      <c r="L79" s="1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12"/>
      <c r="F80" s="12"/>
      <c r="G80" s="2"/>
      <c r="H80" s="13"/>
      <c r="I80" s="2"/>
      <c r="J80" s="2"/>
      <c r="K80" s="2"/>
      <c r="L80" s="1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12"/>
      <c r="F81" s="12"/>
      <c r="G81" s="2"/>
      <c r="H81" s="13"/>
      <c r="I81" s="2"/>
      <c r="J81" s="2"/>
      <c r="K81" s="2"/>
      <c r="L81" s="1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12"/>
      <c r="F82" s="12"/>
      <c r="G82" s="2"/>
      <c r="H82" s="13"/>
      <c r="I82" s="2"/>
      <c r="J82" s="2"/>
      <c r="K82" s="2"/>
      <c r="L82" s="1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12"/>
      <c r="F83" s="12"/>
      <c r="G83" s="2"/>
      <c r="H83" s="13"/>
      <c r="I83" s="2"/>
      <c r="J83" s="2"/>
      <c r="K83" s="2"/>
      <c r="L83" s="1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12"/>
      <c r="F84" s="12"/>
      <c r="G84" s="2"/>
      <c r="H84" s="13"/>
      <c r="I84" s="2"/>
      <c r="J84" s="2"/>
      <c r="K84" s="2"/>
      <c r="L84" s="1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12"/>
      <c r="F85" s="12"/>
      <c r="G85" s="2"/>
      <c r="H85" s="13"/>
      <c r="I85" s="2"/>
      <c r="J85" s="2"/>
      <c r="K85" s="2"/>
      <c r="L85" s="1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12"/>
      <c r="F86" s="12"/>
      <c r="G86" s="2"/>
      <c r="H86" s="13"/>
      <c r="I86" s="2"/>
      <c r="J86" s="2"/>
      <c r="K86" s="2"/>
      <c r="L86" s="1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12"/>
      <c r="F87" s="12"/>
      <c r="G87" s="2"/>
      <c r="H87" s="13"/>
      <c r="I87" s="2"/>
      <c r="J87" s="2"/>
      <c r="K87" s="2"/>
      <c r="L87" s="1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12"/>
      <c r="F88" s="12"/>
      <c r="G88" s="2"/>
      <c r="H88" s="13"/>
      <c r="I88" s="2"/>
      <c r="J88" s="2"/>
      <c r="K88" s="2"/>
      <c r="L88" s="1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12"/>
      <c r="F89" s="12"/>
      <c r="G89" s="2"/>
      <c r="H89" s="13"/>
      <c r="I89" s="2"/>
      <c r="J89" s="2"/>
      <c r="K89" s="2"/>
      <c r="L89" s="1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12"/>
      <c r="F90" s="12"/>
      <c r="G90" s="2"/>
      <c r="H90" s="13"/>
      <c r="I90" s="2"/>
      <c r="J90" s="2"/>
      <c r="K90" s="2"/>
      <c r="L90" s="1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12"/>
      <c r="F91" s="12"/>
      <c r="G91" s="2"/>
      <c r="H91" s="13"/>
      <c r="I91" s="2"/>
      <c r="J91" s="2"/>
      <c r="K91" s="2"/>
      <c r="L91" s="1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12"/>
      <c r="F92" s="12"/>
      <c r="G92" s="2"/>
      <c r="H92" s="13"/>
      <c r="I92" s="2"/>
      <c r="J92" s="2"/>
      <c r="K92" s="2"/>
      <c r="L92" s="1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12"/>
      <c r="F93" s="12"/>
      <c r="G93" s="2"/>
      <c r="H93" s="13"/>
      <c r="I93" s="2"/>
      <c r="J93" s="2"/>
      <c r="K93" s="2"/>
      <c r="L93" s="1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12"/>
      <c r="F94" s="12"/>
      <c r="G94" s="2"/>
      <c r="H94" s="13"/>
      <c r="I94" s="2"/>
      <c r="J94" s="2"/>
      <c r="K94" s="2"/>
      <c r="L94" s="1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12"/>
      <c r="F95" s="12"/>
      <c r="G95" s="2"/>
      <c r="H95" s="13"/>
      <c r="I95" s="2"/>
      <c r="J95" s="2"/>
      <c r="K95" s="2"/>
      <c r="L95" s="1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12"/>
      <c r="F96" s="12"/>
      <c r="G96" s="2"/>
      <c r="H96" s="13"/>
      <c r="I96" s="2"/>
      <c r="J96" s="2"/>
      <c r="K96" s="2"/>
      <c r="L96" s="1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12"/>
      <c r="F97" s="12"/>
      <c r="G97" s="2"/>
      <c r="H97" s="13"/>
      <c r="I97" s="2"/>
      <c r="J97" s="2"/>
      <c r="K97" s="2"/>
      <c r="L97" s="1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12"/>
      <c r="F98" s="12"/>
      <c r="G98" s="2"/>
      <c r="H98" s="13"/>
      <c r="I98" s="2"/>
      <c r="J98" s="2"/>
      <c r="K98" s="2"/>
      <c r="L98" s="1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12"/>
      <c r="F99" s="12"/>
      <c r="G99" s="2"/>
      <c r="H99" s="13"/>
      <c r="I99" s="2"/>
      <c r="J99" s="2"/>
      <c r="K99" s="2"/>
      <c r="L99" s="1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12"/>
      <c r="F100" s="12"/>
      <c r="G100" s="2"/>
      <c r="H100" s="13"/>
      <c r="I100" s="2"/>
      <c r="J100" s="2"/>
      <c r="K100" s="2"/>
      <c r="L100" s="1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100">
    <cfRule type="expression" dxfId="4" priority="1">
      <formula>$I2="Critical"</formula>
    </cfRule>
  </conditionalFormatting>
  <conditionalFormatting sqref="I2:I100">
    <cfRule type="expression" dxfId="5" priority="2">
      <formula>$I2="High"</formula>
    </cfRule>
  </conditionalFormatting>
  <conditionalFormatting sqref="I2:I100">
    <cfRule type="expression" dxfId="6" priority="3">
      <formula>$I2="Medium"</formula>
    </cfRule>
  </conditionalFormatting>
  <conditionalFormatting sqref="I2:I100">
    <cfRule type="expression" dxfId="7" priority="4">
      <formula>$I2="Low"</formula>
    </cfRule>
  </conditionalFormatting>
  <dataValidations>
    <dataValidation type="list" allowBlank="1" sqref="G2:G100">
      <formula1>Lists!$A$2:$A$5</formula1>
    </dataValidation>
    <dataValidation type="list" allowBlank="1" sqref="I2:I100">
      <formula1>Lists!$C$2:$C$5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9.88"/>
    <col customWidth="1" min="3" max="3" width="13.38"/>
    <col customWidth="1" min="4" max="4" width="42.0"/>
    <col customWidth="1" min="5" max="5" width="8.38"/>
    <col customWidth="1" min="6" max="6" width="11.38"/>
    <col customWidth="1" min="7" max="7" width="10.75"/>
    <col customWidth="1" min="8" max="8" width="10.5"/>
    <col customWidth="1" min="9" max="9" width="13.25"/>
    <col customWidth="1" min="10" max="10" width="10.13"/>
    <col customWidth="1" min="11" max="11" width="14.25"/>
    <col customWidth="1" min="12" max="12" width="44.0"/>
    <col customWidth="1" min="13" max="13" width="17.88"/>
    <col customWidth="1" min="14" max="14" width="8.88"/>
    <col customWidth="1" min="15" max="15" width="13.13"/>
    <col customWidth="1" min="16" max="16" width="36.0"/>
    <col customWidth="1" min="17" max="26" width="8.63"/>
  </cols>
  <sheetData>
    <row r="1">
      <c r="A1" s="8" t="s">
        <v>69</v>
      </c>
      <c r="B1" s="8" t="s">
        <v>37</v>
      </c>
      <c r="C1" s="8" t="s">
        <v>25</v>
      </c>
      <c r="D1" s="8" t="s">
        <v>70</v>
      </c>
      <c r="E1" s="8" t="s">
        <v>71</v>
      </c>
      <c r="F1" s="8" t="s">
        <v>72</v>
      </c>
      <c r="G1" s="8" t="s">
        <v>73</v>
      </c>
      <c r="H1" s="8" t="s">
        <v>3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42</v>
      </c>
      <c r="O1" s="8" t="s">
        <v>44</v>
      </c>
      <c r="P1" s="8" t="s">
        <v>79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80</v>
      </c>
      <c r="B2" s="9" t="s">
        <v>9</v>
      </c>
      <c r="C2" s="9" t="s">
        <v>29</v>
      </c>
      <c r="D2" s="9" t="s">
        <v>81</v>
      </c>
      <c r="E2" s="14">
        <v>5.0</v>
      </c>
      <c r="F2" s="14">
        <v>4.0</v>
      </c>
      <c r="G2" s="14">
        <f t="shared" ref="G2:G11" si="1">E2*F2</f>
        <v>20</v>
      </c>
      <c r="H2" s="9" t="str">
        <f t="shared" ref="H2:H11" si="2">IF(G2&gt;=16,"Critical",IF(G2&gt;=11,"High",IF(G2&gt;=6,"Medium","Low")))</f>
        <v>Critical</v>
      </c>
      <c r="I2" s="9" t="s">
        <v>47</v>
      </c>
      <c r="J2" s="10">
        <v>46223.0</v>
      </c>
      <c r="K2" s="9">
        <f t="shared" ref="K2:K11" si="3">J2-TODAY()</f>
        <v>15</v>
      </c>
      <c r="L2" s="9" t="s">
        <v>82</v>
      </c>
      <c r="M2" s="9" t="str">
        <f t="shared" ref="M2:M11" si="4">IF(OR(H2="Critical",AND(H2="High",K2&lt;=7),K2&lt;0),"Yes","No")</f>
        <v>Yes</v>
      </c>
      <c r="N2" s="9" t="s">
        <v>83</v>
      </c>
      <c r="O2" s="10">
        <v>46206.0</v>
      </c>
      <c r="P2" s="9" t="s">
        <v>84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85</v>
      </c>
      <c r="B3" s="9" t="s">
        <v>12</v>
      </c>
      <c r="C3" s="9" t="s">
        <v>28</v>
      </c>
      <c r="D3" s="9" t="s">
        <v>86</v>
      </c>
      <c r="E3" s="14">
        <v>5.0</v>
      </c>
      <c r="F3" s="14">
        <v>5.0</v>
      </c>
      <c r="G3" s="14">
        <f t="shared" si="1"/>
        <v>25</v>
      </c>
      <c r="H3" s="9" t="str">
        <f t="shared" si="2"/>
        <v>Critical</v>
      </c>
      <c r="I3" s="9" t="s">
        <v>87</v>
      </c>
      <c r="J3" s="10">
        <v>46221.0</v>
      </c>
      <c r="K3" s="9">
        <f t="shared" si="3"/>
        <v>13</v>
      </c>
      <c r="L3" s="9" t="s">
        <v>88</v>
      </c>
      <c r="M3" s="9" t="str">
        <f t="shared" si="4"/>
        <v>Yes</v>
      </c>
      <c r="N3" s="9" t="s">
        <v>83</v>
      </c>
      <c r="O3" s="10">
        <v>46206.0</v>
      </c>
      <c r="P3" s="9" t="s">
        <v>89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90</v>
      </c>
      <c r="B4" s="9" t="s">
        <v>15</v>
      </c>
      <c r="C4" s="9" t="s">
        <v>27</v>
      </c>
      <c r="D4" s="9" t="s">
        <v>91</v>
      </c>
      <c r="E4" s="14">
        <v>4.0</v>
      </c>
      <c r="F4" s="14">
        <v>4.0</v>
      </c>
      <c r="G4" s="14">
        <f t="shared" si="1"/>
        <v>16</v>
      </c>
      <c r="H4" s="9" t="str">
        <f t="shared" si="2"/>
        <v>Critical</v>
      </c>
      <c r="I4" s="9" t="s">
        <v>57</v>
      </c>
      <c r="J4" s="10">
        <v>46220.0</v>
      </c>
      <c r="K4" s="9">
        <f t="shared" si="3"/>
        <v>12</v>
      </c>
      <c r="L4" s="9" t="s">
        <v>92</v>
      </c>
      <c r="M4" s="9" t="str">
        <f t="shared" si="4"/>
        <v>Yes</v>
      </c>
      <c r="N4" s="9" t="s">
        <v>93</v>
      </c>
      <c r="O4" s="10">
        <v>46206.0</v>
      </c>
      <c r="P4" s="9" t="s">
        <v>94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95</v>
      </c>
      <c r="B5" s="9" t="s">
        <v>18</v>
      </c>
      <c r="C5" s="9" t="s">
        <v>32</v>
      </c>
      <c r="D5" s="9" t="s">
        <v>96</v>
      </c>
      <c r="E5" s="14">
        <v>4.0</v>
      </c>
      <c r="F5" s="14">
        <v>3.0</v>
      </c>
      <c r="G5" s="14">
        <f t="shared" si="1"/>
        <v>12</v>
      </c>
      <c r="H5" s="9" t="str">
        <f t="shared" si="2"/>
        <v>High</v>
      </c>
      <c r="I5" s="9" t="s">
        <v>61</v>
      </c>
      <c r="J5" s="10">
        <v>46227.0</v>
      </c>
      <c r="K5" s="9">
        <f t="shared" si="3"/>
        <v>19</v>
      </c>
      <c r="L5" s="9" t="s">
        <v>97</v>
      </c>
      <c r="M5" s="9" t="str">
        <f t="shared" si="4"/>
        <v>No</v>
      </c>
      <c r="N5" s="9" t="s">
        <v>83</v>
      </c>
      <c r="O5" s="10">
        <v>46206.0</v>
      </c>
      <c r="P5" s="9" t="s">
        <v>98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99</v>
      </c>
      <c r="B6" s="9" t="s">
        <v>20</v>
      </c>
      <c r="C6" s="9" t="s">
        <v>30</v>
      </c>
      <c r="D6" s="9" t="s">
        <v>100</v>
      </c>
      <c r="E6" s="14">
        <v>3.0</v>
      </c>
      <c r="F6" s="14">
        <v>4.0</v>
      </c>
      <c r="G6" s="14">
        <f t="shared" si="1"/>
        <v>12</v>
      </c>
      <c r="H6" s="9" t="str">
        <f t="shared" si="2"/>
        <v>High</v>
      </c>
      <c r="I6" s="9" t="s">
        <v>66</v>
      </c>
      <c r="J6" s="10">
        <v>46218.0</v>
      </c>
      <c r="K6" s="9">
        <f t="shared" si="3"/>
        <v>10</v>
      </c>
      <c r="L6" s="9" t="s">
        <v>101</v>
      </c>
      <c r="M6" s="9" t="str">
        <f t="shared" si="4"/>
        <v>No</v>
      </c>
      <c r="N6" s="9" t="s">
        <v>93</v>
      </c>
      <c r="O6" s="10">
        <v>46206.0</v>
      </c>
      <c r="P6" s="9" t="s">
        <v>102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103</v>
      </c>
      <c r="B7" s="9" t="s">
        <v>9</v>
      </c>
      <c r="C7" s="9" t="s">
        <v>33</v>
      </c>
      <c r="D7" s="9" t="s">
        <v>104</v>
      </c>
      <c r="E7" s="14">
        <v>3.0</v>
      </c>
      <c r="F7" s="14">
        <v>3.0</v>
      </c>
      <c r="G7" s="14">
        <f t="shared" si="1"/>
        <v>9</v>
      </c>
      <c r="H7" s="9" t="str">
        <f t="shared" si="2"/>
        <v>Medium</v>
      </c>
      <c r="I7" s="9" t="s">
        <v>105</v>
      </c>
      <c r="J7" s="10">
        <v>46225.0</v>
      </c>
      <c r="K7" s="9">
        <f t="shared" si="3"/>
        <v>17</v>
      </c>
      <c r="L7" s="9" t="s">
        <v>106</v>
      </c>
      <c r="M7" s="9" t="str">
        <f t="shared" si="4"/>
        <v>No</v>
      </c>
      <c r="N7" s="9" t="s">
        <v>83</v>
      </c>
      <c r="O7" s="10">
        <v>46206.0</v>
      </c>
      <c r="P7" s="9" t="s">
        <v>107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108</v>
      </c>
      <c r="B8" s="9" t="s">
        <v>12</v>
      </c>
      <c r="C8" s="9" t="s">
        <v>31</v>
      </c>
      <c r="D8" s="9" t="s">
        <v>109</v>
      </c>
      <c r="E8" s="14">
        <v>4.0</v>
      </c>
      <c r="F8" s="14">
        <v>3.0</v>
      </c>
      <c r="G8" s="14">
        <f t="shared" si="1"/>
        <v>12</v>
      </c>
      <c r="H8" s="9" t="str">
        <f t="shared" si="2"/>
        <v>High</v>
      </c>
      <c r="I8" s="9" t="s">
        <v>52</v>
      </c>
      <c r="J8" s="10">
        <v>46224.0</v>
      </c>
      <c r="K8" s="9">
        <f t="shared" si="3"/>
        <v>16</v>
      </c>
      <c r="L8" s="9" t="s">
        <v>110</v>
      </c>
      <c r="M8" s="9" t="str">
        <f t="shared" si="4"/>
        <v>No</v>
      </c>
      <c r="N8" s="9" t="s">
        <v>83</v>
      </c>
      <c r="O8" s="10">
        <v>46206.0</v>
      </c>
      <c r="P8" s="9" t="s">
        <v>111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112</v>
      </c>
      <c r="B9" s="9" t="s">
        <v>15</v>
      </c>
      <c r="C9" s="9" t="s">
        <v>29</v>
      </c>
      <c r="D9" s="9" t="s">
        <v>113</v>
      </c>
      <c r="E9" s="14">
        <v>4.0</v>
      </c>
      <c r="F9" s="14">
        <v>2.0</v>
      </c>
      <c r="G9" s="14">
        <f t="shared" si="1"/>
        <v>8</v>
      </c>
      <c r="H9" s="9" t="str">
        <f t="shared" si="2"/>
        <v>Medium</v>
      </c>
      <c r="I9" s="9" t="s">
        <v>57</v>
      </c>
      <c r="J9" s="10">
        <v>46222.0</v>
      </c>
      <c r="K9" s="9">
        <f t="shared" si="3"/>
        <v>14</v>
      </c>
      <c r="L9" s="9" t="s">
        <v>114</v>
      </c>
      <c r="M9" s="9" t="str">
        <f t="shared" si="4"/>
        <v>No</v>
      </c>
      <c r="N9" s="9" t="s">
        <v>93</v>
      </c>
      <c r="O9" s="10">
        <v>46206.0</v>
      </c>
      <c r="P9" s="9" t="s">
        <v>115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116</v>
      </c>
      <c r="B10" s="9" t="s">
        <v>18</v>
      </c>
      <c r="C10" s="9" t="s">
        <v>28</v>
      </c>
      <c r="D10" s="9" t="s">
        <v>117</v>
      </c>
      <c r="E10" s="14">
        <v>5.0</v>
      </c>
      <c r="F10" s="14">
        <v>3.0</v>
      </c>
      <c r="G10" s="14">
        <f t="shared" si="1"/>
        <v>15</v>
      </c>
      <c r="H10" s="9" t="str">
        <f t="shared" si="2"/>
        <v>High</v>
      </c>
      <c r="I10" s="9" t="s">
        <v>61</v>
      </c>
      <c r="J10" s="10">
        <v>46233.0</v>
      </c>
      <c r="K10" s="9">
        <f t="shared" si="3"/>
        <v>25</v>
      </c>
      <c r="L10" s="9" t="s">
        <v>118</v>
      </c>
      <c r="M10" s="9" t="str">
        <f t="shared" si="4"/>
        <v>No</v>
      </c>
      <c r="N10" s="9" t="s">
        <v>83</v>
      </c>
      <c r="O10" s="10">
        <v>46206.0</v>
      </c>
      <c r="P10" s="9" t="s">
        <v>119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120</v>
      </c>
      <c r="B11" s="9" t="s">
        <v>20</v>
      </c>
      <c r="C11" s="9" t="s">
        <v>27</v>
      </c>
      <c r="D11" s="9" t="s">
        <v>121</v>
      </c>
      <c r="E11" s="14">
        <v>3.0</v>
      </c>
      <c r="F11" s="14">
        <v>3.0</v>
      </c>
      <c r="G11" s="14">
        <f t="shared" si="1"/>
        <v>9</v>
      </c>
      <c r="H11" s="9" t="str">
        <f t="shared" si="2"/>
        <v>Medium</v>
      </c>
      <c r="I11" s="9" t="s">
        <v>122</v>
      </c>
      <c r="J11" s="10">
        <v>46226.0</v>
      </c>
      <c r="K11" s="9">
        <f t="shared" si="3"/>
        <v>18</v>
      </c>
      <c r="L11" s="9" t="s">
        <v>123</v>
      </c>
      <c r="M11" s="9" t="str">
        <f t="shared" si="4"/>
        <v>No</v>
      </c>
      <c r="N11" s="9" t="s">
        <v>83</v>
      </c>
      <c r="O11" s="10">
        <v>46206.0</v>
      </c>
      <c r="P11" s="9" t="s">
        <v>124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15"/>
      <c r="F12" s="15"/>
      <c r="G12" s="15"/>
      <c r="H12" s="2"/>
      <c r="I12" s="2"/>
      <c r="J12" s="12"/>
      <c r="K12" s="2"/>
      <c r="L12" s="2"/>
      <c r="M12" s="2"/>
      <c r="N12" s="2"/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15"/>
      <c r="F13" s="15"/>
      <c r="G13" s="15"/>
      <c r="H13" s="2"/>
      <c r="I13" s="2"/>
      <c r="J13" s="12"/>
      <c r="K13" s="2"/>
      <c r="L13" s="2"/>
      <c r="M13" s="2"/>
      <c r="N13" s="2"/>
      <c r="O13" s="1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15"/>
      <c r="F14" s="15"/>
      <c r="G14" s="15"/>
      <c r="H14" s="2"/>
      <c r="I14" s="2"/>
      <c r="J14" s="12"/>
      <c r="K14" s="2"/>
      <c r="L14" s="2"/>
      <c r="M14" s="2"/>
      <c r="N14" s="2"/>
      <c r="O14" s="1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15"/>
      <c r="F15" s="15"/>
      <c r="G15" s="15"/>
      <c r="H15" s="2"/>
      <c r="I15" s="2"/>
      <c r="J15" s="12"/>
      <c r="K15" s="2"/>
      <c r="L15" s="2"/>
      <c r="M15" s="2"/>
      <c r="N15" s="2"/>
      <c r="O15" s="1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15"/>
      <c r="F16" s="15"/>
      <c r="G16" s="15"/>
      <c r="H16" s="2"/>
      <c r="I16" s="2"/>
      <c r="J16" s="12"/>
      <c r="K16" s="2"/>
      <c r="L16" s="2"/>
      <c r="M16" s="2"/>
      <c r="N16" s="2"/>
      <c r="O16" s="1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15"/>
      <c r="F17" s="15"/>
      <c r="G17" s="15"/>
      <c r="H17" s="2"/>
      <c r="I17" s="2"/>
      <c r="J17" s="12"/>
      <c r="K17" s="2"/>
      <c r="L17" s="2"/>
      <c r="M17" s="2"/>
      <c r="N17" s="2"/>
      <c r="O17" s="1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15"/>
      <c r="F18" s="15"/>
      <c r="G18" s="15"/>
      <c r="H18" s="2"/>
      <c r="I18" s="2"/>
      <c r="J18" s="12"/>
      <c r="K18" s="2"/>
      <c r="L18" s="2"/>
      <c r="M18" s="2"/>
      <c r="N18" s="2"/>
      <c r="O18" s="1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15"/>
      <c r="F19" s="15"/>
      <c r="G19" s="15"/>
      <c r="H19" s="2"/>
      <c r="I19" s="2"/>
      <c r="J19" s="12"/>
      <c r="K19" s="2"/>
      <c r="L19" s="2"/>
      <c r="M19" s="2"/>
      <c r="N19" s="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15"/>
      <c r="F20" s="15"/>
      <c r="G20" s="15"/>
      <c r="H20" s="2"/>
      <c r="I20" s="2"/>
      <c r="J20" s="12"/>
      <c r="K20" s="2"/>
      <c r="L20" s="2"/>
      <c r="M20" s="2"/>
      <c r="N20" s="2"/>
      <c r="O20" s="1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15"/>
      <c r="F21" s="15"/>
      <c r="G21" s="15"/>
      <c r="H21" s="2"/>
      <c r="I21" s="2"/>
      <c r="J21" s="12"/>
      <c r="K21" s="2"/>
      <c r="L21" s="2"/>
      <c r="M21" s="2"/>
      <c r="N21" s="2"/>
      <c r="O21" s="1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15"/>
      <c r="F22" s="15"/>
      <c r="G22" s="15"/>
      <c r="H22" s="2"/>
      <c r="I22" s="2"/>
      <c r="J22" s="12"/>
      <c r="K22" s="2"/>
      <c r="L22" s="2"/>
      <c r="M22" s="2"/>
      <c r="N22" s="2"/>
      <c r="O22" s="1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15"/>
      <c r="F23" s="15"/>
      <c r="G23" s="15"/>
      <c r="H23" s="2"/>
      <c r="I23" s="2"/>
      <c r="J23" s="12"/>
      <c r="K23" s="2"/>
      <c r="L23" s="2"/>
      <c r="M23" s="2"/>
      <c r="N23" s="2"/>
      <c r="O23" s="1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15"/>
      <c r="F24" s="15"/>
      <c r="G24" s="15"/>
      <c r="H24" s="2"/>
      <c r="I24" s="2"/>
      <c r="J24" s="12"/>
      <c r="K24" s="2"/>
      <c r="L24" s="2"/>
      <c r="M24" s="2"/>
      <c r="N24" s="2"/>
      <c r="O24" s="1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15"/>
      <c r="F25" s="15"/>
      <c r="G25" s="15"/>
      <c r="H25" s="2"/>
      <c r="I25" s="2"/>
      <c r="J25" s="12"/>
      <c r="K25" s="2"/>
      <c r="L25" s="2"/>
      <c r="M25" s="2"/>
      <c r="N25" s="2"/>
      <c r="O25" s="1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15"/>
      <c r="F26" s="15"/>
      <c r="G26" s="15"/>
      <c r="H26" s="2"/>
      <c r="I26" s="2"/>
      <c r="J26" s="12"/>
      <c r="K26" s="2"/>
      <c r="L26" s="2"/>
      <c r="M26" s="2"/>
      <c r="N26" s="2"/>
      <c r="O26" s="1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15"/>
      <c r="F27" s="15"/>
      <c r="G27" s="15"/>
      <c r="H27" s="2"/>
      <c r="I27" s="2"/>
      <c r="J27" s="12"/>
      <c r="K27" s="2"/>
      <c r="L27" s="2"/>
      <c r="M27" s="2"/>
      <c r="N27" s="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15"/>
      <c r="F28" s="15"/>
      <c r="G28" s="15"/>
      <c r="H28" s="2"/>
      <c r="I28" s="2"/>
      <c r="J28" s="12"/>
      <c r="K28" s="2"/>
      <c r="L28" s="2"/>
      <c r="M28" s="2"/>
      <c r="N28" s="2"/>
      <c r="O28" s="1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15"/>
      <c r="F29" s="15"/>
      <c r="G29" s="15"/>
      <c r="H29" s="2"/>
      <c r="I29" s="2"/>
      <c r="J29" s="12"/>
      <c r="K29" s="2"/>
      <c r="L29" s="2"/>
      <c r="M29" s="2"/>
      <c r="N29" s="2"/>
      <c r="O29" s="1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15"/>
      <c r="F30" s="15"/>
      <c r="G30" s="15"/>
      <c r="H30" s="2"/>
      <c r="I30" s="2"/>
      <c r="J30" s="12"/>
      <c r="K30" s="2"/>
      <c r="L30" s="2"/>
      <c r="M30" s="2"/>
      <c r="N30" s="2"/>
      <c r="O30" s="1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15"/>
      <c r="F31" s="15"/>
      <c r="G31" s="15"/>
      <c r="H31" s="2"/>
      <c r="I31" s="2"/>
      <c r="J31" s="12"/>
      <c r="K31" s="2"/>
      <c r="L31" s="2"/>
      <c r="M31" s="2"/>
      <c r="N31" s="2"/>
      <c r="O31" s="1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15"/>
      <c r="F32" s="15"/>
      <c r="G32" s="15"/>
      <c r="H32" s="2"/>
      <c r="I32" s="2"/>
      <c r="J32" s="12"/>
      <c r="K32" s="2"/>
      <c r="L32" s="2"/>
      <c r="M32" s="2"/>
      <c r="N32" s="2"/>
      <c r="O32" s="1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15"/>
      <c r="F33" s="15"/>
      <c r="G33" s="15"/>
      <c r="H33" s="2"/>
      <c r="I33" s="2"/>
      <c r="J33" s="12"/>
      <c r="K33" s="2"/>
      <c r="L33" s="2"/>
      <c r="M33" s="2"/>
      <c r="N33" s="2"/>
      <c r="O33" s="1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15"/>
      <c r="F34" s="15"/>
      <c r="G34" s="15"/>
      <c r="H34" s="2"/>
      <c r="I34" s="2"/>
      <c r="J34" s="12"/>
      <c r="K34" s="2"/>
      <c r="L34" s="2"/>
      <c r="M34" s="2"/>
      <c r="N34" s="2"/>
      <c r="O34" s="1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15"/>
      <c r="F35" s="15"/>
      <c r="G35" s="15"/>
      <c r="H35" s="2"/>
      <c r="I35" s="2"/>
      <c r="J35" s="12"/>
      <c r="K35" s="2"/>
      <c r="L35" s="2"/>
      <c r="M35" s="2"/>
      <c r="N35" s="2"/>
      <c r="O35" s="1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15"/>
      <c r="F36" s="15"/>
      <c r="G36" s="15"/>
      <c r="H36" s="2"/>
      <c r="I36" s="2"/>
      <c r="J36" s="12"/>
      <c r="K36" s="2"/>
      <c r="L36" s="2"/>
      <c r="M36" s="2"/>
      <c r="N36" s="2"/>
      <c r="O36" s="1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15"/>
      <c r="F37" s="15"/>
      <c r="G37" s="15"/>
      <c r="H37" s="2"/>
      <c r="I37" s="2"/>
      <c r="J37" s="12"/>
      <c r="K37" s="2"/>
      <c r="L37" s="2"/>
      <c r="M37" s="2"/>
      <c r="N37" s="2"/>
      <c r="O37" s="1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15"/>
      <c r="F38" s="15"/>
      <c r="G38" s="15"/>
      <c r="H38" s="2"/>
      <c r="I38" s="2"/>
      <c r="J38" s="12"/>
      <c r="K38" s="2"/>
      <c r="L38" s="2"/>
      <c r="M38" s="2"/>
      <c r="N38" s="2"/>
      <c r="O38" s="1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15"/>
      <c r="F39" s="15"/>
      <c r="G39" s="15"/>
      <c r="H39" s="2"/>
      <c r="I39" s="2"/>
      <c r="J39" s="12"/>
      <c r="K39" s="2"/>
      <c r="L39" s="2"/>
      <c r="M39" s="2"/>
      <c r="N39" s="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15"/>
      <c r="F40" s="15"/>
      <c r="G40" s="15"/>
      <c r="H40" s="2"/>
      <c r="I40" s="2"/>
      <c r="J40" s="12"/>
      <c r="K40" s="2"/>
      <c r="L40" s="2"/>
      <c r="M40" s="2"/>
      <c r="N40" s="2"/>
      <c r="O40" s="1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15"/>
      <c r="F41" s="15"/>
      <c r="G41" s="15"/>
      <c r="H41" s="2"/>
      <c r="I41" s="2"/>
      <c r="J41" s="12"/>
      <c r="K41" s="2"/>
      <c r="L41" s="2"/>
      <c r="M41" s="2"/>
      <c r="N41" s="2"/>
      <c r="O41" s="1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15"/>
      <c r="F42" s="15"/>
      <c r="G42" s="15"/>
      <c r="H42" s="2"/>
      <c r="I42" s="2"/>
      <c r="J42" s="12"/>
      <c r="K42" s="2"/>
      <c r="L42" s="2"/>
      <c r="M42" s="2"/>
      <c r="N42" s="2"/>
      <c r="O42" s="1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15"/>
      <c r="F43" s="15"/>
      <c r="G43" s="15"/>
      <c r="H43" s="2"/>
      <c r="I43" s="2"/>
      <c r="J43" s="12"/>
      <c r="K43" s="2"/>
      <c r="L43" s="2"/>
      <c r="M43" s="2"/>
      <c r="N43" s="2"/>
      <c r="O43" s="1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15"/>
      <c r="F44" s="15"/>
      <c r="G44" s="15"/>
      <c r="H44" s="2"/>
      <c r="I44" s="2"/>
      <c r="J44" s="12"/>
      <c r="K44" s="2"/>
      <c r="L44" s="2"/>
      <c r="M44" s="2"/>
      <c r="N44" s="2"/>
      <c r="O44" s="1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15"/>
      <c r="F45" s="15"/>
      <c r="G45" s="15"/>
      <c r="H45" s="2"/>
      <c r="I45" s="2"/>
      <c r="J45" s="12"/>
      <c r="K45" s="2"/>
      <c r="L45" s="2"/>
      <c r="M45" s="2"/>
      <c r="N45" s="2"/>
      <c r="O45" s="1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15"/>
      <c r="F46" s="15"/>
      <c r="G46" s="15"/>
      <c r="H46" s="2"/>
      <c r="I46" s="2"/>
      <c r="J46" s="12"/>
      <c r="K46" s="2"/>
      <c r="L46" s="2"/>
      <c r="M46" s="2"/>
      <c r="N46" s="2"/>
      <c r="O46" s="1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15"/>
      <c r="F47" s="15"/>
      <c r="G47" s="15"/>
      <c r="H47" s="2"/>
      <c r="I47" s="2"/>
      <c r="J47" s="12"/>
      <c r="K47" s="2"/>
      <c r="L47" s="2"/>
      <c r="M47" s="2"/>
      <c r="N47" s="2"/>
      <c r="O47" s="1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15"/>
      <c r="F48" s="15"/>
      <c r="G48" s="15"/>
      <c r="H48" s="2"/>
      <c r="I48" s="2"/>
      <c r="J48" s="12"/>
      <c r="K48" s="2"/>
      <c r="L48" s="2"/>
      <c r="M48" s="2"/>
      <c r="N48" s="2"/>
      <c r="O48" s="1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15"/>
      <c r="F49" s="15"/>
      <c r="G49" s="15"/>
      <c r="H49" s="2"/>
      <c r="I49" s="2"/>
      <c r="J49" s="12"/>
      <c r="K49" s="2"/>
      <c r="L49" s="2"/>
      <c r="M49" s="2"/>
      <c r="N49" s="2"/>
      <c r="O49" s="1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15"/>
      <c r="F50" s="15"/>
      <c r="G50" s="15"/>
      <c r="H50" s="2"/>
      <c r="I50" s="2"/>
      <c r="J50" s="12"/>
      <c r="K50" s="2"/>
      <c r="L50" s="2"/>
      <c r="M50" s="2"/>
      <c r="N50" s="2"/>
      <c r="O50" s="1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15"/>
      <c r="F51" s="15"/>
      <c r="G51" s="15"/>
      <c r="H51" s="2"/>
      <c r="I51" s="2"/>
      <c r="J51" s="12"/>
      <c r="K51" s="2"/>
      <c r="L51" s="2"/>
      <c r="M51" s="2"/>
      <c r="N51" s="2"/>
      <c r="O51" s="1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15"/>
      <c r="F52" s="15"/>
      <c r="G52" s="15"/>
      <c r="H52" s="2"/>
      <c r="I52" s="2"/>
      <c r="J52" s="12"/>
      <c r="K52" s="2"/>
      <c r="L52" s="2"/>
      <c r="M52" s="2"/>
      <c r="N52" s="2"/>
      <c r="O52" s="1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15"/>
      <c r="F53" s="15"/>
      <c r="G53" s="15"/>
      <c r="H53" s="2"/>
      <c r="I53" s="2"/>
      <c r="J53" s="12"/>
      <c r="K53" s="2"/>
      <c r="L53" s="2"/>
      <c r="M53" s="2"/>
      <c r="N53" s="2"/>
      <c r="O53" s="1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15"/>
      <c r="F54" s="15"/>
      <c r="G54" s="15"/>
      <c r="H54" s="2"/>
      <c r="I54" s="2"/>
      <c r="J54" s="12"/>
      <c r="K54" s="2"/>
      <c r="L54" s="2"/>
      <c r="M54" s="2"/>
      <c r="N54" s="2"/>
      <c r="O54" s="1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15"/>
      <c r="F55" s="15"/>
      <c r="G55" s="15"/>
      <c r="H55" s="2"/>
      <c r="I55" s="2"/>
      <c r="J55" s="12"/>
      <c r="K55" s="2"/>
      <c r="L55" s="2"/>
      <c r="M55" s="2"/>
      <c r="N55" s="2"/>
      <c r="O55" s="1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15"/>
      <c r="F56" s="15"/>
      <c r="G56" s="15"/>
      <c r="H56" s="2"/>
      <c r="I56" s="2"/>
      <c r="J56" s="12"/>
      <c r="K56" s="2"/>
      <c r="L56" s="2"/>
      <c r="M56" s="2"/>
      <c r="N56" s="2"/>
      <c r="O56" s="1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15"/>
      <c r="F57" s="15"/>
      <c r="G57" s="15"/>
      <c r="H57" s="2"/>
      <c r="I57" s="2"/>
      <c r="J57" s="12"/>
      <c r="K57" s="2"/>
      <c r="L57" s="2"/>
      <c r="M57" s="2"/>
      <c r="N57" s="2"/>
      <c r="O57" s="1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15"/>
      <c r="F58" s="15"/>
      <c r="G58" s="15"/>
      <c r="H58" s="2"/>
      <c r="I58" s="2"/>
      <c r="J58" s="12"/>
      <c r="K58" s="2"/>
      <c r="L58" s="2"/>
      <c r="M58" s="2"/>
      <c r="N58" s="2"/>
      <c r="O58" s="1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15"/>
      <c r="F59" s="15"/>
      <c r="G59" s="15"/>
      <c r="H59" s="2"/>
      <c r="I59" s="2"/>
      <c r="J59" s="12"/>
      <c r="K59" s="2"/>
      <c r="L59" s="2"/>
      <c r="M59" s="2"/>
      <c r="N59" s="2"/>
      <c r="O59" s="1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15"/>
      <c r="F60" s="15"/>
      <c r="G60" s="15"/>
      <c r="H60" s="2"/>
      <c r="I60" s="2"/>
      <c r="J60" s="12"/>
      <c r="K60" s="2"/>
      <c r="L60" s="2"/>
      <c r="M60" s="2"/>
      <c r="N60" s="2"/>
      <c r="O60" s="1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15"/>
      <c r="F61" s="15"/>
      <c r="G61" s="15"/>
      <c r="H61" s="2"/>
      <c r="I61" s="2"/>
      <c r="J61" s="12"/>
      <c r="K61" s="2"/>
      <c r="L61" s="2"/>
      <c r="M61" s="2"/>
      <c r="N61" s="2"/>
      <c r="O61" s="1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15"/>
      <c r="F62" s="15"/>
      <c r="G62" s="15"/>
      <c r="H62" s="2"/>
      <c r="I62" s="2"/>
      <c r="J62" s="12"/>
      <c r="K62" s="2"/>
      <c r="L62" s="2"/>
      <c r="M62" s="2"/>
      <c r="N62" s="2"/>
      <c r="O62" s="1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15"/>
      <c r="F63" s="15"/>
      <c r="G63" s="15"/>
      <c r="H63" s="2"/>
      <c r="I63" s="2"/>
      <c r="J63" s="12"/>
      <c r="K63" s="2"/>
      <c r="L63" s="2"/>
      <c r="M63" s="2"/>
      <c r="N63" s="2"/>
      <c r="O63" s="1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15"/>
      <c r="F64" s="15"/>
      <c r="G64" s="15"/>
      <c r="H64" s="2"/>
      <c r="I64" s="2"/>
      <c r="J64" s="12"/>
      <c r="K64" s="2"/>
      <c r="L64" s="2"/>
      <c r="M64" s="2"/>
      <c r="N64" s="2"/>
      <c r="O64" s="1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15"/>
      <c r="F65" s="15"/>
      <c r="G65" s="15"/>
      <c r="H65" s="2"/>
      <c r="I65" s="2"/>
      <c r="J65" s="12"/>
      <c r="K65" s="2"/>
      <c r="L65" s="2"/>
      <c r="M65" s="2"/>
      <c r="N65" s="2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15"/>
      <c r="F66" s="15"/>
      <c r="G66" s="15"/>
      <c r="H66" s="2"/>
      <c r="I66" s="2"/>
      <c r="J66" s="12"/>
      <c r="K66" s="2"/>
      <c r="L66" s="2"/>
      <c r="M66" s="2"/>
      <c r="N66" s="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15"/>
      <c r="F67" s="15"/>
      <c r="G67" s="15"/>
      <c r="H67" s="2"/>
      <c r="I67" s="2"/>
      <c r="J67" s="12"/>
      <c r="K67" s="2"/>
      <c r="L67" s="2"/>
      <c r="M67" s="2"/>
      <c r="N67" s="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15"/>
      <c r="F68" s="15"/>
      <c r="G68" s="15"/>
      <c r="H68" s="2"/>
      <c r="I68" s="2"/>
      <c r="J68" s="12"/>
      <c r="K68" s="2"/>
      <c r="L68" s="2"/>
      <c r="M68" s="2"/>
      <c r="N68" s="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15"/>
      <c r="F69" s="15"/>
      <c r="G69" s="15"/>
      <c r="H69" s="2"/>
      <c r="I69" s="2"/>
      <c r="J69" s="12"/>
      <c r="K69" s="2"/>
      <c r="L69" s="2"/>
      <c r="M69" s="2"/>
      <c r="N69" s="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15"/>
      <c r="F70" s="15"/>
      <c r="G70" s="15"/>
      <c r="H70" s="2"/>
      <c r="I70" s="2"/>
      <c r="J70" s="12"/>
      <c r="K70" s="2"/>
      <c r="L70" s="2"/>
      <c r="M70" s="2"/>
      <c r="N70" s="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15"/>
      <c r="F71" s="15"/>
      <c r="G71" s="15"/>
      <c r="H71" s="2"/>
      <c r="I71" s="2"/>
      <c r="J71" s="12"/>
      <c r="K71" s="2"/>
      <c r="L71" s="2"/>
      <c r="M71" s="2"/>
      <c r="N71" s="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15"/>
      <c r="F72" s="15"/>
      <c r="G72" s="15"/>
      <c r="H72" s="2"/>
      <c r="I72" s="2"/>
      <c r="J72" s="12"/>
      <c r="K72" s="2"/>
      <c r="L72" s="2"/>
      <c r="M72" s="2"/>
      <c r="N72" s="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15"/>
      <c r="F73" s="15"/>
      <c r="G73" s="15"/>
      <c r="H73" s="2"/>
      <c r="I73" s="2"/>
      <c r="J73" s="12"/>
      <c r="K73" s="2"/>
      <c r="L73" s="2"/>
      <c r="M73" s="2"/>
      <c r="N73" s="2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15"/>
      <c r="F74" s="15"/>
      <c r="G74" s="15"/>
      <c r="H74" s="2"/>
      <c r="I74" s="2"/>
      <c r="J74" s="12"/>
      <c r="K74" s="2"/>
      <c r="L74" s="2"/>
      <c r="M74" s="2"/>
      <c r="N74" s="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15"/>
      <c r="F75" s="15"/>
      <c r="G75" s="15"/>
      <c r="H75" s="2"/>
      <c r="I75" s="2"/>
      <c r="J75" s="12"/>
      <c r="K75" s="2"/>
      <c r="L75" s="2"/>
      <c r="M75" s="2"/>
      <c r="N75" s="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15"/>
      <c r="F76" s="15"/>
      <c r="G76" s="15"/>
      <c r="H76" s="2"/>
      <c r="I76" s="2"/>
      <c r="J76" s="12"/>
      <c r="K76" s="2"/>
      <c r="L76" s="2"/>
      <c r="M76" s="2"/>
      <c r="N76" s="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15"/>
      <c r="F77" s="15"/>
      <c r="G77" s="15"/>
      <c r="H77" s="2"/>
      <c r="I77" s="2"/>
      <c r="J77" s="12"/>
      <c r="K77" s="2"/>
      <c r="L77" s="2"/>
      <c r="M77" s="2"/>
      <c r="N77" s="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15"/>
      <c r="F78" s="15"/>
      <c r="G78" s="15"/>
      <c r="H78" s="2"/>
      <c r="I78" s="2"/>
      <c r="J78" s="12"/>
      <c r="K78" s="2"/>
      <c r="L78" s="2"/>
      <c r="M78" s="2"/>
      <c r="N78" s="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15"/>
      <c r="F79" s="15"/>
      <c r="G79" s="15"/>
      <c r="H79" s="2"/>
      <c r="I79" s="2"/>
      <c r="J79" s="12"/>
      <c r="K79" s="2"/>
      <c r="L79" s="2"/>
      <c r="M79" s="2"/>
      <c r="N79" s="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15"/>
      <c r="F80" s="15"/>
      <c r="G80" s="15"/>
      <c r="H80" s="2"/>
      <c r="I80" s="2"/>
      <c r="J80" s="12"/>
      <c r="K80" s="2"/>
      <c r="L80" s="2"/>
      <c r="M80" s="2"/>
      <c r="N80" s="2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15"/>
      <c r="F81" s="15"/>
      <c r="G81" s="15"/>
      <c r="H81" s="2"/>
      <c r="I81" s="2"/>
      <c r="J81" s="12"/>
      <c r="K81" s="2"/>
      <c r="L81" s="2"/>
      <c r="M81" s="2"/>
      <c r="N81" s="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15"/>
      <c r="F82" s="15"/>
      <c r="G82" s="15"/>
      <c r="H82" s="2"/>
      <c r="I82" s="2"/>
      <c r="J82" s="12"/>
      <c r="K82" s="2"/>
      <c r="L82" s="2"/>
      <c r="M82" s="2"/>
      <c r="N82" s="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15"/>
      <c r="F83" s="15"/>
      <c r="G83" s="15"/>
      <c r="H83" s="2"/>
      <c r="I83" s="2"/>
      <c r="J83" s="12"/>
      <c r="K83" s="2"/>
      <c r="L83" s="2"/>
      <c r="M83" s="2"/>
      <c r="N83" s="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15"/>
      <c r="F84" s="15"/>
      <c r="G84" s="15"/>
      <c r="H84" s="2"/>
      <c r="I84" s="2"/>
      <c r="J84" s="12"/>
      <c r="K84" s="2"/>
      <c r="L84" s="2"/>
      <c r="M84" s="2"/>
      <c r="N84" s="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15"/>
      <c r="F85" s="15"/>
      <c r="G85" s="15"/>
      <c r="H85" s="2"/>
      <c r="I85" s="2"/>
      <c r="J85" s="12"/>
      <c r="K85" s="2"/>
      <c r="L85" s="2"/>
      <c r="M85" s="2"/>
      <c r="N85" s="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15"/>
      <c r="F86" s="15"/>
      <c r="G86" s="15"/>
      <c r="H86" s="2"/>
      <c r="I86" s="2"/>
      <c r="J86" s="12"/>
      <c r="K86" s="2"/>
      <c r="L86" s="2"/>
      <c r="M86" s="2"/>
      <c r="N86" s="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15"/>
      <c r="F87" s="15"/>
      <c r="G87" s="15"/>
      <c r="H87" s="2"/>
      <c r="I87" s="2"/>
      <c r="J87" s="12"/>
      <c r="K87" s="2"/>
      <c r="L87" s="2"/>
      <c r="M87" s="2"/>
      <c r="N87" s="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15"/>
      <c r="F88" s="15"/>
      <c r="G88" s="15"/>
      <c r="H88" s="2"/>
      <c r="I88" s="2"/>
      <c r="J88" s="12"/>
      <c r="K88" s="2"/>
      <c r="L88" s="2"/>
      <c r="M88" s="2"/>
      <c r="N88" s="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15"/>
      <c r="F89" s="15"/>
      <c r="G89" s="15"/>
      <c r="H89" s="2"/>
      <c r="I89" s="2"/>
      <c r="J89" s="12"/>
      <c r="K89" s="2"/>
      <c r="L89" s="2"/>
      <c r="M89" s="2"/>
      <c r="N89" s="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15"/>
      <c r="F90" s="15"/>
      <c r="G90" s="15"/>
      <c r="H90" s="2"/>
      <c r="I90" s="2"/>
      <c r="J90" s="12"/>
      <c r="K90" s="2"/>
      <c r="L90" s="2"/>
      <c r="M90" s="2"/>
      <c r="N90" s="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15"/>
      <c r="F91" s="15"/>
      <c r="G91" s="15"/>
      <c r="H91" s="2"/>
      <c r="I91" s="2"/>
      <c r="J91" s="12"/>
      <c r="K91" s="2"/>
      <c r="L91" s="2"/>
      <c r="M91" s="2"/>
      <c r="N91" s="2"/>
      <c r="O91" s="1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15"/>
      <c r="F92" s="15"/>
      <c r="G92" s="15"/>
      <c r="H92" s="2"/>
      <c r="I92" s="2"/>
      <c r="J92" s="12"/>
      <c r="K92" s="2"/>
      <c r="L92" s="2"/>
      <c r="M92" s="2"/>
      <c r="N92" s="2"/>
      <c r="O92" s="1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15"/>
      <c r="F93" s="15"/>
      <c r="G93" s="15"/>
      <c r="H93" s="2"/>
      <c r="I93" s="2"/>
      <c r="J93" s="12"/>
      <c r="K93" s="2"/>
      <c r="L93" s="2"/>
      <c r="M93" s="2"/>
      <c r="N93" s="2"/>
      <c r="O93" s="1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15"/>
      <c r="F94" s="15"/>
      <c r="G94" s="15"/>
      <c r="H94" s="2"/>
      <c r="I94" s="2"/>
      <c r="J94" s="12"/>
      <c r="K94" s="2"/>
      <c r="L94" s="2"/>
      <c r="M94" s="2"/>
      <c r="N94" s="2"/>
      <c r="O94" s="1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15"/>
      <c r="F95" s="15"/>
      <c r="G95" s="15"/>
      <c r="H95" s="2"/>
      <c r="I95" s="2"/>
      <c r="J95" s="12"/>
      <c r="K95" s="2"/>
      <c r="L95" s="2"/>
      <c r="M95" s="2"/>
      <c r="N95" s="2"/>
      <c r="O95" s="1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15"/>
      <c r="F96" s="15"/>
      <c r="G96" s="15"/>
      <c r="H96" s="2"/>
      <c r="I96" s="2"/>
      <c r="J96" s="12"/>
      <c r="K96" s="2"/>
      <c r="L96" s="2"/>
      <c r="M96" s="2"/>
      <c r="N96" s="2"/>
      <c r="O96" s="1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15"/>
      <c r="F97" s="15"/>
      <c r="G97" s="15"/>
      <c r="H97" s="2"/>
      <c r="I97" s="2"/>
      <c r="J97" s="12"/>
      <c r="K97" s="2"/>
      <c r="L97" s="2"/>
      <c r="M97" s="2"/>
      <c r="N97" s="2"/>
      <c r="O97" s="1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15"/>
      <c r="F98" s="15"/>
      <c r="G98" s="15"/>
      <c r="H98" s="2"/>
      <c r="I98" s="2"/>
      <c r="J98" s="12"/>
      <c r="K98" s="2"/>
      <c r="L98" s="2"/>
      <c r="M98" s="2"/>
      <c r="N98" s="2"/>
      <c r="O98" s="1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15"/>
      <c r="F99" s="15"/>
      <c r="G99" s="15"/>
      <c r="H99" s="2"/>
      <c r="I99" s="2"/>
      <c r="J99" s="12"/>
      <c r="K99" s="2"/>
      <c r="L99" s="2"/>
      <c r="M99" s="2"/>
      <c r="N99" s="2"/>
      <c r="O99" s="1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15"/>
      <c r="F100" s="15"/>
      <c r="G100" s="15"/>
      <c r="H100" s="2"/>
      <c r="I100" s="2"/>
      <c r="J100" s="12"/>
      <c r="K100" s="2"/>
      <c r="L100" s="2"/>
      <c r="M100" s="2"/>
      <c r="N100" s="2"/>
      <c r="O100" s="1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100">
    <cfRule type="expression" dxfId="4" priority="1">
      <formula>M2="Yes"</formula>
    </cfRule>
  </conditionalFormatting>
  <conditionalFormatting sqref="H2:H100">
    <cfRule type="expression" dxfId="4" priority="2">
      <formula>$H2="Critical"</formula>
    </cfRule>
  </conditionalFormatting>
  <conditionalFormatting sqref="H2:H100">
    <cfRule type="expression" dxfId="5" priority="3">
      <formula>$H2="High"</formula>
    </cfRule>
  </conditionalFormatting>
  <conditionalFormatting sqref="H2:H100">
    <cfRule type="expression" dxfId="6" priority="4">
      <formula>$H2="Medium"</formula>
    </cfRule>
  </conditionalFormatting>
  <conditionalFormatting sqref="H2:H100">
    <cfRule type="expression" dxfId="7" priority="5">
      <formula>$H2="Low"</formula>
    </cfRule>
  </conditionalFormatting>
  <dataValidations>
    <dataValidation type="list" allowBlank="1" sqref="B2:B100">
      <formula1>Projects!$B$2:$B$6</formula1>
    </dataValidation>
    <dataValidation type="list" allowBlank="1" sqref="C2:C100">
      <formula1>Lists!$D$2:$D$8</formula1>
    </dataValidation>
    <dataValidation type="list" allowBlank="1" sqref="N2:N100">
      <formula1>Lists!$A$6:$A$10</formula1>
    </dataValidation>
    <dataValidation type="list" allowBlank="1" sqref="M2:M100">
      <formula1>Lists!$H$2:$H$3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9.88"/>
    <col customWidth="1" min="3" max="3" width="36.0"/>
    <col customWidth="1" min="4" max="4" width="13.25"/>
    <col customWidth="1" min="5" max="5" width="8.75"/>
    <col customWidth="1" min="6" max="6" width="9.13"/>
    <col customWidth="1" min="7" max="7" width="10.13"/>
    <col customWidth="1" min="8" max="8" width="14.25"/>
    <col customWidth="1" min="9" max="9" width="9.88"/>
    <col customWidth="1" min="10" max="10" width="38.0"/>
    <col customWidth="1" min="11" max="11" width="12.13"/>
    <col customWidth="1" min="12" max="12" width="13.63"/>
    <col customWidth="1" min="13" max="13" width="36.0"/>
    <col customWidth="1" min="14" max="26" width="8.63"/>
  </cols>
  <sheetData>
    <row r="1">
      <c r="A1" s="8" t="s">
        <v>125</v>
      </c>
      <c r="B1" s="8" t="s">
        <v>37</v>
      </c>
      <c r="C1" s="8" t="s">
        <v>126</v>
      </c>
      <c r="D1" s="8" t="s">
        <v>127</v>
      </c>
      <c r="E1" s="8" t="s">
        <v>128</v>
      </c>
      <c r="F1" s="8" t="s">
        <v>42</v>
      </c>
      <c r="G1" s="8" t="s">
        <v>75</v>
      </c>
      <c r="H1" s="8" t="s">
        <v>76</v>
      </c>
      <c r="I1" s="8" t="s">
        <v>129</v>
      </c>
      <c r="J1" s="8" t="s">
        <v>130</v>
      </c>
      <c r="K1" s="8" t="s">
        <v>131</v>
      </c>
      <c r="L1" s="8" t="s">
        <v>132</v>
      </c>
      <c r="M1" s="8" t="s">
        <v>79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133</v>
      </c>
      <c r="B2" s="9" t="s">
        <v>9</v>
      </c>
      <c r="C2" s="9" t="s">
        <v>134</v>
      </c>
      <c r="D2" s="9" t="s">
        <v>61</v>
      </c>
      <c r="E2" s="9" t="s">
        <v>11</v>
      </c>
      <c r="F2" s="9" t="s">
        <v>49</v>
      </c>
      <c r="G2" s="10">
        <v>46213.0</v>
      </c>
      <c r="H2" s="9">
        <f t="shared" ref="H2:H11" si="1">G2-TODAY()</f>
        <v>5</v>
      </c>
      <c r="I2" s="9" t="s">
        <v>135</v>
      </c>
      <c r="J2" s="9"/>
      <c r="K2" s="10">
        <v>46205.0</v>
      </c>
      <c r="L2" s="9" t="str">
        <f t="shared" ref="L2:L11" si="2">IF(AND(F2&lt;&gt;"Done",F2&lt;&gt;"Complete",TODAY()-K2&gt;5),"Yes","No")</f>
        <v>No</v>
      </c>
      <c r="M2" s="9" t="s">
        <v>136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137</v>
      </c>
      <c r="B3" s="9" t="s">
        <v>9</v>
      </c>
      <c r="C3" s="9" t="s">
        <v>138</v>
      </c>
      <c r="D3" s="9" t="s">
        <v>105</v>
      </c>
      <c r="E3" s="9" t="s">
        <v>14</v>
      </c>
      <c r="F3" s="9" t="s">
        <v>54</v>
      </c>
      <c r="G3" s="10">
        <v>46215.0</v>
      </c>
      <c r="H3" s="9">
        <f t="shared" si="1"/>
        <v>7</v>
      </c>
      <c r="I3" s="9" t="s">
        <v>139</v>
      </c>
      <c r="J3" s="9" t="s">
        <v>140</v>
      </c>
      <c r="K3" s="10">
        <v>46200.0</v>
      </c>
      <c r="L3" s="9" t="str">
        <f t="shared" si="2"/>
        <v>Yes</v>
      </c>
      <c r="M3" s="9" t="s">
        <v>141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142</v>
      </c>
      <c r="B4" s="9" t="s">
        <v>12</v>
      </c>
      <c r="C4" s="9" t="s">
        <v>143</v>
      </c>
      <c r="D4" s="9" t="s">
        <v>87</v>
      </c>
      <c r="E4" s="9" t="s">
        <v>8</v>
      </c>
      <c r="F4" s="9" t="s">
        <v>54</v>
      </c>
      <c r="G4" s="10">
        <v>46212.0</v>
      </c>
      <c r="H4" s="9">
        <f t="shared" si="1"/>
        <v>4</v>
      </c>
      <c r="I4" s="9" t="s">
        <v>139</v>
      </c>
      <c r="J4" s="9" t="s">
        <v>144</v>
      </c>
      <c r="K4" s="10">
        <v>46201.0</v>
      </c>
      <c r="L4" s="9" t="str">
        <f t="shared" si="2"/>
        <v>Yes</v>
      </c>
      <c r="M4" s="9" t="s">
        <v>145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146</v>
      </c>
      <c r="B5" s="9" t="s">
        <v>12</v>
      </c>
      <c r="C5" s="9" t="s">
        <v>147</v>
      </c>
      <c r="D5" s="9" t="s">
        <v>148</v>
      </c>
      <c r="E5" s="9" t="s">
        <v>11</v>
      </c>
      <c r="F5" s="9" t="s">
        <v>63</v>
      </c>
      <c r="G5" s="10">
        <v>46221.0</v>
      </c>
      <c r="H5" s="9">
        <f t="shared" si="1"/>
        <v>13</v>
      </c>
      <c r="I5" s="9" t="s">
        <v>135</v>
      </c>
      <c r="J5" s="9"/>
      <c r="K5" s="10">
        <v>46204.0</v>
      </c>
      <c r="L5" s="9" t="str">
        <f t="shared" si="2"/>
        <v>No</v>
      </c>
      <c r="M5" s="9" t="s">
        <v>149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150</v>
      </c>
      <c r="B6" s="9" t="s">
        <v>15</v>
      </c>
      <c r="C6" s="9" t="s">
        <v>151</v>
      </c>
      <c r="D6" s="9" t="s">
        <v>57</v>
      </c>
      <c r="E6" s="9" t="s">
        <v>11</v>
      </c>
      <c r="F6" s="9" t="s">
        <v>152</v>
      </c>
      <c r="G6" s="10">
        <v>46208.0</v>
      </c>
      <c r="H6" s="9">
        <f t="shared" si="1"/>
        <v>0</v>
      </c>
      <c r="I6" s="9" t="s">
        <v>135</v>
      </c>
      <c r="J6" s="9"/>
      <c r="K6" s="10">
        <v>46206.0</v>
      </c>
      <c r="L6" s="9" t="str">
        <f t="shared" si="2"/>
        <v>No</v>
      </c>
      <c r="M6" s="9" t="s">
        <v>153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154</v>
      </c>
      <c r="B7" s="9" t="s">
        <v>15</v>
      </c>
      <c r="C7" s="9" t="s">
        <v>155</v>
      </c>
      <c r="D7" s="9" t="s">
        <v>57</v>
      </c>
      <c r="E7" s="9" t="s">
        <v>11</v>
      </c>
      <c r="F7" s="9" t="s">
        <v>49</v>
      </c>
      <c r="G7" s="10">
        <v>46219.0</v>
      </c>
      <c r="H7" s="9">
        <f t="shared" si="1"/>
        <v>11</v>
      </c>
      <c r="I7" s="9" t="s">
        <v>135</v>
      </c>
      <c r="J7" s="9"/>
      <c r="K7" s="10">
        <v>46202.0</v>
      </c>
      <c r="L7" s="9" t="str">
        <f t="shared" si="2"/>
        <v>Yes</v>
      </c>
      <c r="M7" s="9" t="s">
        <v>156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157</v>
      </c>
      <c r="B8" s="9" t="s">
        <v>18</v>
      </c>
      <c r="C8" s="9" t="s">
        <v>158</v>
      </c>
      <c r="D8" s="9" t="s">
        <v>61</v>
      </c>
      <c r="E8" s="9" t="s">
        <v>11</v>
      </c>
      <c r="F8" s="9" t="s">
        <v>54</v>
      </c>
      <c r="G8" s="10">
        <v>46217.0</v>
      </c>
      <c r="H8" s="9">
        <f t="shared" si="1"/>
        <v>9</v>
      </c>
      <c r="I8" s="9" t="s">
        <v>139</v>
      </c>
      <c r="J8" s="9" t="s">
        <v>159</v>
      </c>
      <c r="K8" s="10">
        <v>46199.0</v>
      </c>
      <c r="L8" s="9" t="str">
        <f t="shared" si="2"/>
        <v>Yes</v>
      </c>
      <c r="M8" s="9" t="s">
        <v>160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161</v>
      </c>
      <c r="B9" s="9" t="s">
        <v>18</v>
      </c>
      <c r="C9" s="9" t="s">
        <v>162</v>
      </c>
      <c r="D9" s="9" t="s">
        <v>163</v>
      </c>
      <c r="E9" s="9" t="s">
        <v>8</v>
      </c>
      <c r="F9" s="9" t="s">
        <v>63</v>
      </c>
      <c r="G9" s="10">
        <v>46225.0</v>
      </c>
      <c r="H9" s="9">
        <f t="shared" si="1"/>
        <v>17</v>
      </c>
      <c r="I9" s="9" t="s">
        <v>135</v>
      </c>
      <c r="J9" s="9"/>
      <c r="K9" s="10">
        <v>46205.0</v>
      </c>
      <c r="L9" s="9" t="str">
        <f t="shared" si="2"/>
        <v>No</v>
      </c>
      <c r="M9" s="9" t="s">
        <v>164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165</v>
      </c>
      <c r="B10" s="9" t="s">
        <v>20</v>
      </c>
      <c r="C10" s="9" t="s">
        <v>166</v>
      </c>
      <c r="D10" s="9" t="s">
        <v>66</v>
      </c>
      <c r="E10" s="9" t="s">
        <v>14</v>
      </c>
      <c r="F10" s="9" t="s">
        <v>49</v>
      </c>
      <c r="G10" s="10">
        <v>46211.0</v>
      </c>
      <c r="H10" s="9">
        <f t="shared" si="1"/>
        <v>3</v>
      </c>
      <c r="I10" s="9" t="s">
        <v>135</v>
      </c>
      <c r="J10" s="9"/>
      <c r="K10" s="10">
        <v>46206.0</v>
      </c>
      <c r="L10" s="9" t="str">
        <f t="shared" si="2"/>
        <v>No</v>
      </c>
      <c r="M10" s="9" t="s">
        <v>167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168</v>
      </c>
      <c r="B11" s="9" t="s">
        <v>20</v>
      </c>
      <c r="C11" s="9" t="s">
        <v>169</v>
      </c>
      <c r="D11" s="9" t="s">
        <v>66</v>
      </c>
      <c r="E11" s="9" t="s">
        <v>14</v>
      </c>
      <c r="F11" s="9" t="s">
        <v>63</v>
      </c>
      <c r="G11" s="10">
        <v>46223.0</v>
      </c>
      <c r="H11" s="9">
        <f t="shared" si="1"/>
        <v>15</v>
      </c>
      <c r="I11" s="9" t="s">
        <v>135</v>
      </c>
      <c r="J11" s="9"/>
      <c r="K11" s="10">
        <v>46198.0</v>
      </c>
      <c r="L11" s="9" t="str">
        <f t="shared" si="2"/>
        <v>Yes</v>
      </c>
      <c r="M11" s="9" t="s">
        <v>170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12"/>
      <c r="H12" s="2"/>
      <c r="I12" s="2"/>
      <c r="J12" s="2"/>
      <c r="K12" s="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12"/>
      <c r="H13" s="2"/>
      <c r="I13" s="2"/>
      <c r="J13" s="2"/>
      <c r="K13" s="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12"/>
      <c r="H14" s="2"/>
      <c r="I14" s="2"/>
      <c r="J14" s="2"/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12"/>
      <c r="H15" s="2"/>
      <c r="I15" s="2"/>
      <c r="J15" s="2"/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12"/>
      <c r="H16" s="2"/>
      <c r="I16" s="2"/>
      <c r="J16" s="2"/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12"/>
      <c r="H17" s="2"/>
      <c r="I17" s="2"/>
      <c r="J17" s="2"/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12"/>
      <c r="H18" s="2"/>
      <c r="I18" s="2"/>
      <c r="J18" s="2"/>
      <c r="K18" s="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12"/>
      <c r="H19" s="2"/>
      <c r="I19" s="2"/>
      <c r="J19" s="2"/>
      <c r="K19" s="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12"/>
      <c r="H20" s="2"/>
      <c r="I20" s="2"/>
      <c r="J20" s="2"/>
      <c r="K20" s="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12"/>
      <c r="H21" s="2"/>
      <c r="I21" s="2"/>
      <c r="J21" s="2"/>
      <c r="K21" s="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12"/>
      <c r="H22" s="2"/>
      <c r="I22" s="2"/>
      <c r="J22" s="2"/>
      <c r="K22" s="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12"/>
      <c r="H23" s="2"/>
      <c r="I23" s="2"/>
      <c r="J23" s="2"/>
      <c r="K23" s="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12"/>
      <c r="H24" s="2"/>
      <c r="I24" s="2"/>
      <c r="J24" s="2"/>
      <c r="K24" s="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12"/>
      <c r="H25" s="2"/>
      <c r="I25" s="2"/>
      <c r="J25" s="2"/>
      <c r="K25" s="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12"/>
      <c r="H26" s="2"/>
      <c r="I26" s="2"/>
      <c r="J26" s="2"/>
      <c r="K26" s="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12"/>
      <c r="H27" s="2"/>
      <c r="I27" s="2"/>
      <c r="J27" s="2"/>
      <c r="K27" s="1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12"/>
      <c r="H28" s="2"/>
      <c r="I28" s="2"/>
      <c r="J28" s="2"/>
      <c r="K28" s="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12"/>
      <c r="H29" s="2"/>
      <c r="I29" s="2"/>
      <c r="J29" s="2"/>
      <c r="K29" s="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12"/>
      <c r="H30" s="2"/>
      <c r="I30" s="2"/>
      <c r="J30" s="2"/>
      <c r="K30" s="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12"/>
      <c r="H31" s="2"/>
      <c r="I31" s="2"/>
      <c r="J31" s="2"/>
      <c r="K31" s="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12"/>
      <c r="H32" s="2"/>
      <c r="I32" s="2"/>
      <c r="J32" s="2"/>
      <c r="K32" s="1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12"/>
      <c r="H33" s="2"/>
      <c r="I33" s="2"/>
      <c r="J33" s="2"/>
      <c r="K33" s="1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12"/>
      <c r="H34" s="2"/>
      <c r="I34" s="2"/>
      <c r="J34" s="2"/>
      <c r="K34" s="1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12"/>
      <c r="H35" s="2"/>
      <c r="I35" s="2"/>
      <c r="J35" s="2"/>
      <c r="K35" s="1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12"/>
      <c r="H36" s="2"/>
      <c r="I36" s="2"/>
      <c r="J36" s="2"/>
      <c r="K36" s="1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12"/>
      <c r="H37" s="2"/>
      <c r="I37" s="2"/>
      <c r="J37" s="2"/>
      <c r="K37" s="1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12"/>
      <c r="H38" s="2"/>
      <c r="I38" s="2"/>
      <c r="J38" s="2"/>
      <c r="K38" s="1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12"/>
      <c r="H39" s="2"/>
      <c r="I39" s="2"/>
      <c r="J39" s="2"/>
      <c r="K39" s="1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12"/>
      <c r="H40" s="2"/>
      <c r="I40" s="2"/>
      <c r="J40" s="2"/>
      <c r="K40" s="1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12"/>
      <c r="H41" s="2"/>
      <c r="I41" s="2"/>
      <c r="J41" s="2"/>
      <c r="K41" s="1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12"/>
      <c r="H42" s="2"/>
      <c r="I42" s="2"/>
      <c r="J42" s="2"/>
      <c r="K42" s="1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12"/>
      <c r="H43" s="2"/>
      <c r="I43" s="2"/>
      <c r="J43" s="2"/>
      <c r="K43" s="1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12"/>
      <c r="H44" s="2"/>
      <c r="I44" s="2"/>
      <c r="J44" s="2"/>
      <c r="K44" s="1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12"/>
      <c r="H45" s="2"/>
      <c r="I45" s="2"/>
      <c r="J45" s="2"/>
      <c r="K45" s="1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12"/>
      <c r="H46" s="2"/>
      <c r="I46" s="2"/>
      <c r="J46" s="2"/>
      <c r="K46" s="1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12"/>
      <c r="H47" s="2"/>
      <c r="I47" s="2"/>
      <c r="J47" s="2"/>
      <c r="K47" s="1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12"/>
      <c r="H48" s="2"/>
      <c r="I48" s="2"/>
      <c r="J48" s="2"/>
      <c r="K48" s="1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12"/>
      <c r="H49" s="2"/>
      <c r="I49" s="2"/>
      <c r="J49" s="2"/>
      <c r="K49" s="1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12"/>
      <c r="H50" s="2"/>
      <c r="I50" s="2"/>
      <c r="J50" s="2"/>
      <c r="K50" s="1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12"/>
      <c r="H51" s="2"/>
      <c r="I51" s="2"/>
      <c r="J51" s="2"/>
      <c r="K51" s="1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12"/>
      <c r="H52" s="2"/>
      <c r="I52" s="2"/>
      <c r="J52" s="2"/>
      <c r="K52" s="1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12"/>
      <c r="H53" s="2"/>
      <c r="I53" s="2"/>
      <c r="J53" s="2"/>
      <c r="K53" s="1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12"/>
      <c r="H54" s="2"/>
      <c r="I54" s="2"/>
      <c r="J54" s="2"/>
      <c r="K54" s="1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12"/>
      <c r="H55" s="2"/>
      <c r="I55" s="2"/>
      <c r="J55" s="2"/>
      <c r="K55" s="1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12"/>
      <c r="H56" s="2"/>
      <c r="I56" s="2"/>
      <c r="J56" s="2"/>
      <c r="K56" s="1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12"/>
      <c r="H57" s="2"/>
      <c r="I57" s="2"/>
      <c r="J57" s="2"/>
      <c r="K57" s="1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12"/>
      <c r="H58" s="2"/>
      <c r="I58" s="2"/>
      <c r="J58" s="2"/>
      <c r="K58" s="1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12"/>
      <c r="H59" s="2"/>
      <c r="I59" s="2"/>
      <c r="J59" s="2"/>
      <c r="K59" s="1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12"/>
      <c r="H60" s="2"/>
      <c r="I60" s="2"/>
      <c r="J60" s="2"/>
      <c r="K60" s="1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12"/>
      <c r="H61" s="2"/>
      <c r="I61" s="2"/>
      <c r="J61" s="2"/>
      <c r="K61" s="1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12"/>
      <c r="H62" s="2"/>
      <c r="I62" s="2"/>
      <c r="J62" s="2"/>
      <c r="K62" s="1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12"/>
      <c r="H63" s="2"/>
      <c r="I63" s="2"/>
      <c r="J63" s="2"/>
      <c r="K63" s="1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12"/>
      <c r="H64" s="2"/>
      <c r="I64" s="2"/>
      <c r="J64" s="2"/>
      <c r="K64" s="1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12"/>
      <c r="H65" s="2"/>
      <c r="I65" s="2"/>
      <c r="J65" s="2"/>
      <c r="K65" s="1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12"/>
      <c r="H66" s="2"/>
      <c r="I66" s="2"/>
      <c r="J66" s="2"/>
      <c r="K66" s="1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12"/>
      <c r="H67" s="2"/>
      <c r="I67" s="2"/>
      <c r="J67" s="2"/>
      <c r="K67" s="1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12"/>
      <c r="H68" s="2"/>
      <c r="I68" s="2"/>
      <c r="J68" s="2"/>
      <c r="K68" s="1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12"/>
      <c r="H69" s="2"/>
      <c r="I69" s="2"/>
      <c r="J69" s="2"/>
      <c r="K69" s="1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12"/>
      <c r="H70" s="2"/>
      <c r="I70" s="2"/>
      <c r="J70" s="2"/>
      <c r="K70" s="1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12"/>
      <c r="H71" s="2"/>
      <c r="I71" s="2"/>
      <c r="J71" s="2"/>
      <c r="K71" s="1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12"/>
      <c r="H72" s="2"/>
      <c r="I72" s="2"/>
      <c r="J72" s="2"/>
      <c r="K72" s="1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12"/>
      <c r="H73" s="2"/>
      <c r="I73" s="2"/>
      <c r="J73" s="2"/>
      <c r="K73" s="1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12"/>
      <c r="H74" s="2"/>
      <c r="I74" s="2"/>
      <c r="J74" s="2"/>
      <c r="K74" s="1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12"/>
      <c r="H75" s="2"/>
      <c r="I75" s="2"/>
      <c r="J75" s="2"/>
      <c r="K75" s="1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12"/>
      <c r="H76" s="2"/>
      <c r="I76" s="2"/>
      <c r="J76" s="2"/>
      <c r="K76" s="1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12"/>
      <c r="H77" s="2"/>
      <c r="I77" s="2"/>
      <c r="J77" s="2"/>
      <c r="K77" s="1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12"/>
      <c r="H78" s="2"/>
      <c r="I78" s="2"/>
      <c r="J78" s="2"/>
      <c r="K78" s="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12"/>
      <c r="H79" s="2"/>
      <c r="I79" s="2"/>
      <c r="J79" s="2"/>
      <c r="K79" s="1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12"/>
      <c r="H80" s="2"/>
      <c r="I80" s="2"/>
      <c r="J80" s="2"/>
      <c r="K80" s="1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12"/>
      <c r="H81" s="2"/>
      <c r="I81" s="2"/>
      <c r="J81" s="2"/>
      <c r="K81" s="1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12"/>
      <c r="H82" s="2"/>
      <c r="I82" s="2"/>
      <c r="J82" s="2"/>
      <c r="K82" s="1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12"/>
      <c r="H83" s="2"/>
      <c r="I83" s="2"/>
      <c r="J83" s="2"/>
      <c r="K83" s="1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12"/>
      <c r="H84" s="2"/>
      <c r="I84" s="2"/>
      <c r="J84" s="2"/>
      <c r="K84" s="1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12"/>
      <c r="H85" s="2"/>
      <c r="I85" s="2"/>
      <c r="J85" s="2"/>
      <c r="K85" s="1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12"/>
      <c r="H86" s="2"/>
      <c r="I86" s="2"/>
      <c r="J86" s="2"/>
      <c r="K86" s="1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12"/>
      <c r="H87" s="2"/>
      <c r="I87" s="2"/>
      <c r="J87" s="2"/>
      <c r="K87" s="1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12"/>
      <c r="H88" s="2"/>
      <c r="I88" s="2"/>
      <c r="J88" s="2"/>
      <c r="K88" s="1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12"/>
      <c r="H89" s="2"/>
      <c r="I89" s="2"/>
      <c r="J89" s="2"/>
      <c r="K89" s="1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12"/>
      <c r="H90" s="2"/>
      <c r="I90" s="2"/>
      <c r="J90" s="2"/>
      <c r="K90" s="1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12"/>
      <c r="H91" s="2"/>
      <c r="I91" s="2"/>
      <c r="J91" s="2"/>
      <c r="K91" s="1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12"/>
      <c r="H92" s="2"/>
      <c r="I92" s="2"/>
      <c r="J92" s="2"/>
      <c r="K92" s="1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12"/>
      <c r="H93" s="2"/>
      <c r="I93" s="2"/>
      <c r="J93" s="2"/>
      <c r="K93" s="1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12"/>
      <c r="H94" s="2"/>
      <c r="I94" s="2"/>
      <c r="J94" s="2"/>
      <c r="K94" s="1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12"/>
      <c r="H95" s="2"/>
      <c r="I95" s="2"/>
      <c r="J95" s="2"/>
      <c r="K95" s="1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12"/>
      <c r="H96" s="2"/>
      <c r="I96" s="2"/>
      <c r="J96" s="2"/>
      <c r="K96" s="1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12"/>
      <c r="H97" s="2"/>
      <c r="I97" s="2"/>
      <c r="J97" s="2"/>
      <c r="K97" s="1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12"/>
      <c r="H98" s="2"/>
      <c r="I98" s="2"/>
      <c r="J98" s="2"/>
      <c r="K98" s="1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12"/>
      <c r="H99" s="2"/>
      <c r="I99" s="2"/>
      <c r="J99" s="2"/>
      <c r="K99" s="1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12"/>
      <c r="H100" s="2"/>
      <c r="I100" s="2"/>
      <c r="J100" s="2"/>
      <c r="K100" s="1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100">
    <cfRule type="expression" dxfId="4" priority="1">
      <formula>I2="Yes"</formula>
    </cfRule>
  </conditionalFormatting>
  <conditionalFormatting sqref="L2:L100">
    <cfRule type="expression" dxfId="8" priority="2">
      <formula>L2="Yes"</formula>
    </cfRule>
  </conditionalFormatting>
  <dataValidations>
    <dataValidation type="list" allowBlank="1" sqref="B2:B100">
      <formula1>Projects!$B$2:$B$6</formula1>
    </dataValidation>
    <dataValidation type="list" allowBlank="1" sqref="E2:E100">
      <formula1>Lists!$B$2:$B$5</formula1>
    </dataValidation>
    <dataValidation type="list" allowBlank="1" sqref="I2:I100 L2:L100">
      <formula1>Lists!$H$2:$H$3</formula1>
    </dataValidation>
    <dataValidation type="list" allowBlank="1" sqref="F2:F100">
      <formula1>Lists!$A$2:$A$5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9.13"/>
    <col customWidth="1" min="3" max="3" width="19.88"/>
    <col customWidth="1" min="4" max="4" width="13.75"/>
    <col customWidth="1" min="5" max="5" width="12.63"/>
    <col customWidth="1" min="6" max="9" width="40.0"/>
    <col customWidth="1" min="10" max="10" width="13.25"/>
    <col customWidth="1" min="11" max="11" width="10.13"/>
    <col customWidth="1" min="12" max="12" width="8.88"/>
    <col customWidth="1" min="13" max="26" width="8.63"/>
  </cols>
  <sheetData>
    <row r="1">
      <c r="A1" s="8" t="s">
        <v>171</v>
      </c>
      <c r="B1" s="8" t="s">
        <v>172</v>
      </c>
      <c r="C1" s="8" t="s">
        <v>37</v>
      </c>
      <c r="D1" s="8" t="s">
        <v>173</v>
      </c>
      <c r="E1" s="8" t="s">
        <v>174</v>
      </c>
      <c r="F1" s="8" t="s">
        <v>175</v>
      </c>
      <c r="G1" s="8" t="s">
        <v>176</v>
      </c>
      <c r="H1" s="8" t="s">
        <v>177</v>
      </c>
      <c r="I1" s="8" t="s">
        <v>178</v>
      </c>
      <c r="J1" s="8" t="s">
        <v>179</v>
      </c>
      <c r="K1" s="8" t="s">
        <v>75</v>
      </c>
      <c r="L1" s="8" t="s">
        <v>42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180</v>
      </c>
      <c r="B2" s="10">
        <v>46206.0</v>
      </c>
      <c r="C2" s="9" t="s">
        <v>9</v>
      </c>
      <c r="D2" s="9" t="s">
        <v>181</v>
      </c>
      <c r="E2" s="9" t="s">
        <v>182</v>
      </c>
      <c r="F2" s="9" t="s">
        <v>183</v>
      </c>
      <c r="G2" s="9" t="s">
        <v>184</v>
      </c>
      <c r="H2" s="9" t="s">
        <v>185</v>
      </c>
      <c r="I2" s="9" t="s">
        <v>186</v>
      </c>
      <c r="J2" s="9" t="s">
        <v>47</v>
      </c>
      <c r="K2" s="10">
        <v>46213.0</v>
      </c>
      <c r="L2" s="9" t="s">
        <v>83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187</v>
      </c>
      <c r="B3" s="10">
        <v>46206.0</v>
      </c>
      <c r="C3" s="9" t="s">
        <v>12</v>
      </c>
      <c r="D3" s="9" t="s">
        <v>188</v>
      </c>
      <c r="E3" s="9" t="s">
        <v>189</v>
      </c>
      <c r="F3" s="9" t="s">
        <v>190</v>
      </c>
      <c r="G3" s="9" t="s">
        <v>191</v>
      </c>
      <c r="H3" s="9" t="s">
        <v>192</v>
      </c>
      <c r="I3" s="9" t="s">
        <v>193</v>
      </c>
      <c r="J3" s="9" t="s">
        <v>52</v>
      </c>
      <c r="K3" s="10">
        <v>46211.0</v>
      </c>
      <c r="L3" s="9" t="s">
        <v>83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194</v>
      </c>
      <c r="B4" s="10">
        <v>46206.0</v>
      </c>
      <c r="C4" s="9" t="s">
        <v>15</v>
      </c>
      <c r="D4" s="9" t="s">
        <v>195</v>
      </c>
      <c r="E4" s="9" t="s">
        <v>196</v>
      </c>
      <c r="F4" s="9" t="s">
        <v>197</v>
      </c>
      <c r="G4" s="9" t="s">
        <v>198</v>
      </c>
      <c r="H4" s="9" t="s">
        <v>199</v>
      </c>
      <c r="I4" s="9" t="s">
        <v>200</v>
      </c>
      <c r="J4" s="9" t="s">
        <v>57</v>
      </c>
      <c r="K4" s="10">
        <v>46215.0</v>
      </c>
      <c r="L4" s="9" t="s">
        <v>93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2"/>
      <c r="C5" s="2"/>
      <c r="D5" s="2"/>
      <c r="E5" s="2"/>
      <c r="F5" s="2"/>
      <c r="G5" s="2"/>
      <c r="H5" s="2"/>
      <c r="I5" s="2"/>
      <c r="J5" s="2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2"/>
      <c r="C6" s="2"/>
      <c r="D6" s="2"/>
      <c r="E6" s="2"/>
      <c r="F6" s="2"/>
      <c r="G6" s="2"/>
      <c r="H6" s="2"/>
      <c r="I6" s="2"/>
      <c r="J6" s="2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2"/>
      <c r="C7" s="2"/>
      <c r="D7" s="2"/>
      <c r="E7" s="2"/>
      <c r="F7" s="2"/>
      <c r="G7" s="2"/>
      <c r="H7" s="2"/>
      <c r="I7" s="2"/>
      <c r="J7" s="2"/>
      <c r="K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2"/>
      <c r="C8" s="2"/>
      <c r="D8" s="2"/>
      <c r="E8" s="2"/>
      <c r="F8" s="2"/>
      <c r="G8" s="2"/>
      <c r="H8" s="2"/>
      <c r="I8" s="2"/>
      <c r="J8" s="2"/>
      <c r="K8" s="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/>
      <c r="C9" s="2"/>
      <c r="D9" s="2"/>
      <c r="E9" s="2"/>
      <c r="F9" s="2"/>
      <c r="G9" s="2"/>
      <c r="H9" s="2"/>
      <c r="I9" s="2"/>
      <c r="J9" s="2"/>
      <c r="K9" s="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2"/>
      <c r="C10" s="2"/>
      <c r="D10" s="2"/>
      <c r="E10" s="2"/>
      <c r="F10" s="2"/>
      <c r="G10" s="2"/>
      <c r="H10" s="2"/>
      <c r="I10" s="2"/>
      <c r="J10" s="2"/>
      <c r="K10" s="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2"/>
      <c r="C11" s="2"/>
      <c r="D11" s="2"/>
      <c r="E11" s="2"/>
      <c r="F11" s="2"/>
      <c r="G11" s="2"/>
      <c r="H11" s="2"/>
      <c r="I11" s="2"/>
      <c r="J11" s="2"/>
      <c r="K11" s="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2"/>
      <c r="C12" s="2"/>
      <c r="D12" s="2"/>
      <c r="E12" s="2"/>
      <c r="F12" s="2"/>
      <c r="G12" s="2"/>
      <c r="H12" s="2"/>
      <c r="I12" s="2"/>
      <c r="J12" s="2"/>
      <c r="K12" s="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2"/>
      <c r="C13" s="2"/>
      <c r="D13" s="2"/>
      <c r="E13" s="2"/>
      <c r="F13" s="2"/>
      <c r="G13" s="2"/>
      <c r="H13" s="2"/>
      <c r="I13" s="2"/>
      <c r="J13" s="2"/>
      <c r="K13" s="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2"/>
      <c r="C14" s="2"/>
      <c r="D14" s="2"/>
      <c r="E14" s="2"/>
      <c r="F14" s="2"/>
      <c r="G14" s="2"/>
      <c r="H14" s="2"/>
      <c r="I14" s="2"/>
      <c r="J14" s="2"/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2"/>
      <c r="C15" s="2"/>
      <c r="D15" s="2"/>
      <c r="E15" s="2"/>
      <c r="F15" s="2"/>
      <c r="G15" s="2"/>
      <c r="H15" s="2"/>
      <c r="I15" s="2"/>
      <c r="J15" s="2"/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2"/>
      <c r="C16" s="2"/>
      <c r="D16" s="2"/>
      <c r="E16" s="2"/>
      <c r="F16" s="2"/>
      <c r="G16" s="2"/>
      <c r="H16" s="2"/>
      <c r="I16" s="2"/>
      <c r="J16" s="2"/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2"/>
      <c r="C17" s="2"/>
      <c r="D17" s="2"/>
      <c r="E17" s="2"/>
      <c r="F17" s="2"/>
      <c r="G17" s="2"/>
      <c r="H17" s="2"/>
      <c r="I17" s="2"/>
      <c r="J17" s="2"/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2"/>
      <c r="C18" s="2"/>
      <c r="D18" s="2"/>
      <c r="E18" s="2"/>
      <c r="F18" s="2"/>
      <c r="G18" s="2"/>
      <c r="H18" s="2"/>
      <c r="I18" s="2"/>
      <c r="J18" s="2"/>
      <c r="K18" s="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2"/>
      <c r="C19" s="2"/>
      <c r="D19" s="2"/>
      <c r="E19" s="2"/>
      <c r="F19" s="2"/>
      <c r="G19" s="2"/>
      <c r="H19" s="2"/>
      <c r="I19" s="2"/>
      <c r="J19" s="2"/>
      <c r="K19" s="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/>
      <c r="C20" s="2"/>
      <c r="D20" s="2"/>
      <c r="E20" s="2"/>
      <c r="F20" s="2"/>
      <c r="G20" s="2"/>
      <c r="H20" s="2"/>
      <c r="I20" s="2"/>
      <c r="J20" s="2"/>
      <c r="K20" s="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2"/>
      <c r="C21" s="2"/>
      <c r="D21" s="2"/>
      <c r="E21" s="2"/>
      <c r="F21" s="2"/>
      <c r="G21" s="2"/>
      <c r="H21" s="2"/>
      <c r="I21" s="2"/>
      <c r="J21" s="2"/>
      <c r="K21" s="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2"/>
      <c r="C22" s="2"/>
      <c r="D22" s="2"/>
      <c r="E22" s="2"/>
      <c r="F22" s="2"/>
      <c r="G22" s="2"/>
      <c r="H22" s="2"/>
      <c r="I22" s="2"/>
      <c r="J22" s="2"/>
      <c r="K22" s="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2"/>
      <c r="C23" s="2"/>
      <c r="D23" s="2"/>
      <c r="E23" s="2"/>
      <c r="F23" s="2"/>
      <c r="G23" s="2"/>
      <c r="H23" s="2"/>
      <c r="I23" s="2"/>
      <c r="J23" s="2"/>
      <c r="K23" s="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2"/>
      <c r="C24" s="2"/>
      <c r="D24" s="2"/>
      <c r="E24" s="2"/>
      <c r="F24" s="2"/>
      <c r="G24" s="2"/>
      <c r="H24" s="2"/>
      <c r="I24" s="2"/>
      <c r="J24" s="2"/>
      <c r="K24" s="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2"/>
      <c r="C25" s="2"/>
      <c r="D25" s="2"/>
      <c r="E25" s="2"/>
      <c r="F25" s="2"/>
      <c r="G25" s="2"/>
      <c r="H25" s="2"/>
      <c r="I25" s="2"/>
      <c r="J25" s="2"/>
      <c r="K25" s="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2"/>
      <c r="C26" s="2"/>
      <c r="D26" s="2"/>
      <c r="E26" s="2"/>
      <c r="F26" s="2"/>
      <c r="G26" s="2"/>
      <c r="H26" s="2"/>
      <c r="I26" s="2"/>
      <c r="J26" s="2"/>
      <c r="K26" s="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12"/>
      <c r="C27" s="2"/>
      <c r="D27" s="2"/>
      <c r="E27" s="2"/>
      <c r="F27" s="2"/>
      <c r="G27" s="2"/>
      <c r="H27" s="2"/>
      <c r="I27" s="2"/>
      <c r="J27" s="2"/>
      <c r="K27" s="1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2"/>
      <c r="C28" s="2"/>
      <c r="D28" s="2"/>
      <c r="E28" s="2"/>
      <c r="F28" s="2"/>
      <c r="G28" s="2"/>
      <c r="H28" s="2"/>
      <c r="I28" s="2"/>
      <c r="J28" s="2"/>
      <c r="K28" s="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12"/>
      <c r="C29" s="2"/>
      <c r="D29" s="2"/>
      <c r="E29" s="2"/>
      <c r="F29" s="2"/>
      <c r="G29" s="2"/>
      <c r="H29" s="2"/>
      <c r="I29" s="2"/>
      <c r="J29" s="2"/>
      <c r="K29" s="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12"/>
      <c r="C30" s="2"/>
      <c r="D30" s="2"/>
      <c r="E30" s="2"/>
      <c r="F30" s="2"/>
      <c r="G30" s="2"/>
      <c r="H30" s="2"/>
      <c r="I30" s="2"/>
      <c r="J30" s="2"/>
      <c r="K30" s="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12"/>
      <c r="C31" s="2"/>
      <c r="D31" s="2"/>
      <c r="E31" s="2"/>
      <c r="F31" s="2"/>
      <c r="G31" s="2"/>
      <c r="H31" s="2"/>
      <c r="I31" s="2"/>
      <c r="J31" s="2"/>
      <c r="K31" s="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12"/>
      <c r="C32" s="2"/>
      <c r="D32" s="2"/>
      <c r="E32" s="2"/>
      <c r="F32" s="2"/>
      <c r="G32" s="2"/>
      <c r="H32" s="2"/>
      <c r="I32" s="2"/>
      <c r="J32" s="2"/>
      <c r="K32" s="1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12"/>
      <c r="C33" s="2"/>
      <c r="D33" s="2"/>
      <c r="E33" s="2"/>
      <c r="F33" s="2"/>
      <c r="G33" s="2"/>
      <c r="H33" s="2"/>
      <c r="I33" s="2"/>
      <c r="J33" s="2"/>
      <c r="K33" s="1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12"/>
      <c r="C34" s="2"/>
      <c r="D34" s="2"/>
      <c r="E34" s="2"/>
      <c r="F34" s="2"/>
      <c r="G34" s="2"/>
      <c r="H34" s="2"/>
      <c r="I34" s="2"/>
      <c r="J34" s="2"/>
      <c r="K34" s="1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12"/>
      <c r="C35" s="2"/>
      <c r="D35" s="2"/>
      <c r="E35" s="2"/>
      <c r="F35" s="2"/>
      <c r="G35" s="2"/>
      <c r="H35" s="2"/>
      <c r="I35" s="2"/>
      <c r="J35" s="2"/>
      <c r="K35" s="1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2"/>
      <c r="C36" s="2"/>
      <c r="D36" s="2"/>
      <c r="E36" s="2"/>
      <c r="F36" s="2"/>
      <c r="G36" s="2"/>
      <c r="H36" s="2"/>
      <c r="I36" s="2"/>
      <c r="J36" s="2"/>
      <c r="K36" s="1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12"/>
      <c r="C37" s="2"/>
      <c r="D37" s="2"/>
      <c r="E37" s="2"/>
      <c r="F37" s="2"/>
      <c r="G37" s="2"/>
      <c r="H37" s="2"/>
      <c r="I37" s="2"/>
      <c r="J37" s="2"/>
      <c r="K37" s="1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12"/>
      <c r="C38" s="2"/>
      <c r="D38" s="2"/>
      <c r="E38" s="2"/>
      <c r="F38" s="2"/>
      <c r="G38" s="2"/>
      <c r="H38" s="2"/>
      <c r="I38" s="2"/>
      <c r="J38" s="2"/>
      <c r="K38" s="1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12"/>
      <c r="C39" s="2"/>
      <c r="D39" s="2"/>
      <c r="E39" s="2"/>
      <c r="F39" s="2"/>
      <c r="G39" s="2"/>
      <c r="H39" s="2"/>
      <c r="I39" s="2"/>
      <c r="J39" s="2"/>
      <c r="K39" s="1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12"/>
      <c r="C40" s="2"/>
      <c r="D40" s="2"/>
      <c r="E40" s="2"/>
      <c r="F40" s="2"/>
      <c r="G40" s="2"/>
      <c r="H40" s="2"/>
      <c r="I40" s="2"/>
      <c r="J40" s="2"/>
      <c r="K40" s="1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12"/>
      <c r="C41" s="2"/>
      <c r="D41" s="2"/>
      <c r="E41" s="2"/>
      <c r="F41" s="2"/>
      <c r="G41" s="2"/>
      <c r="H41" s="2"/>
      <c r="I41" s="2"/>
      <c r="J41" s="2"/>
      <c r="K41" s="1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12"/>
      <c r="C42" s="2"/>
      <c r="D42" s="2"/>
      <c r="E42" s="2"/>
      <c r="F42" s="2"/>
      <c r="G42" s="2"/>
      <c r="H42" s="2"/>
      <c r="I42" s="2"/>
      <c r="J42" s="2"/>
      <c r="K42" s="1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12"/>
      <c r="C43" s="2"/>
      <c r="D43" s="2"/>
      <c r="E43" s="2"/>
      <c r="F43" s="2"/>
      <c r="G43" s="2"/>
      <c r="H43" s="2"/>
      <c r="I43" s="2"/>
      <c r="J43" s="2"/>
      <c r="K43" s="1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12"/>
      <c r="C44" s="2"/>
      <c r="D44" s="2"/>
      <c r="E44" s="2"/>
      <c r="F44" s="2"/>
      <c r="G44" s="2"/>
      <c r="H44" s="2"/>
      <c r="I44" s="2"/>
      <c r="J44" s="2"/>
      <c r="K44" s="1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12"/>
      <c r="C45" s="2"/>
      <c r="D45" s="2"/>
      <c r="E45" s="2"/>
      <c r="F45" s="2"/>
      <c r="G45" s="2"/>
      <c r="H45" s="2"/>
      <c r="I45" s="2"/>
      <c r="J45" s="2"/>
      <c r="K45" s="1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12"/>
      <c r="C46" s="2"/>
      <c r="D46" s="2"/>
      <c r="E46" s="2"/>
      <c r="F46" s="2"/>
      <c r="G46" s="2"/>
      <c r="H46" s="2"/>
      <c r="I46" s="2"/>
      <c r="J46" s="2"/>
      <c r="K46" s="1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12"/>
      <c r="C47" s="2"/>
      <c r="D47" s="2"/>
      <c r="E47" s="2"/>
      <c r="F47" s="2"/>
      <c r="G47" s="2"/>
      <c r="H47" s="2"/>
      <c r="I47" s="2"/>
      <c r="J47" s="2"/>
      <c r="K47" s="1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12"/>
      <c r="C48" s="2"/>
      <c r="D48" s="2"/>
      <c r="E48" s="2"/>
      <c r="F48" s="2"/>
      <c r="G48" s="2"/>
      <c r="H48" s="2"/>
      <c r="I48" s="2"/>
      <c r="J48" s="2"/>
      <c r="K48" s="1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12"/>
      <c r="C49" s="2"/>
      <c r="D49" s="2"/>
      <c r="E49" s="2"/>
      <c r="F49" s="2"/>
      <c r="G49" s="2"/>
      <c r="H49" s="2"/>
      <c r="I49" s="2"/>
      <c r="J49" s="2"/>
      <c r="K49" s="1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12"/>
      <c r="C50" s="2"/>
      <c r="D50" s="2"/>
      <c r="E50" s="2"/>
      <c r="F50" s="2"/>
      <c r="G50" s="2"/>
      <c r="H50" s="2"/>
      <c r="I50" s="2"/>
      <c r="J50" s="2"/>
      <c r="K50" s="1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12"/>
      <c r="C51" s="2"/>
      <c r="D51" s="2"/>
      <c r="E51" s="2"/>
      <c r="F51" s="2"/>
      <c r="G51" s="2"/>
      <c r="H51" s="2"/>
      <c r="I51" s="2"/>
      <c r="J51" s="2"/>
      <c r="K51" s="1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12"/>
      <c r="C52" s="2"/>
      <c r="D52" s="2"/>
      <c r="E52" s="2"/>
      <c r="F52" s="2"/>
      <c r="G52" s="2"/>
      <c r="H52" s="2"/>
      <c r="I52" s="2"/>
      <c r="J52" s="2"/>
      <c r="K52" s="1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12"/>
      <c r="C53" s="2"/>
      <c r="D53" s="2"/>
      <c r="E53" s="2"/>
      <c r="F53" s="2"/>
      <c r="G53" s="2"/>
      <c r="H53" s="2"/>
      <c r="I53" s="2"/>
      <c r="J53" s="2"/>
      <c r="K53" s="1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12"/>
      <c r="C54" s="2"/>
      <c r="D54" s="2"/>
      <c r="E54" s="2"/>
      <c r="F54" s="2"/>
      <c r="G54" s="2"/>
      <c r="H54" s="2"/>
      <c r="I54" s="2"/>
      <c r="J54" s="2"/>
      <c r="K54" s="1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12"/>
      <c r="C55" s="2"/>
      <c r="D55" s="2"/>
      <c r="E55" s="2"/>
      <c r="F55" s="2"/>
      <c r="G55" s="2"/>
      <c r="H55" s="2"/>
      <c r="I55" s="2"/>
      <c r="J55" s="2"/>
      <c r="K55" s="1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12"/>
      <c r="C56" s="2"/>
      <c r="D56" s="2"/>
      <c r="E56" s="2"/>
      <c r="F56" s="2"/>
      <c r="G56" s="2"/>
      <c r="H56" s="2"/>
      <c r="I56" s="2"/>
      <c r="J56" s="2"/>
      <c r="K56" s="1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12"/>
      <c r="C57" s="2"/>
      <c r="D57" s="2"/>
      <c r="E57" s="2"/>
      <c r="F57" s="2"/>
      <c r="G57" s="2"/>
      <c r="H57" s="2"/>
      <c r="I57" s="2"/>
      <c r="J57" s="2"/>
      <c r="K57" s="1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12"/>
      <c r="C58" s="2"/>
      <c r="D58" s="2"/>
      <c r="E58" s="2"/>
      <c r="F58" s="2"/>
      <c r="G58" s="2"/>
      <c r="H58" s="2"/>
      <c r="I58" s="2"/>
      <c r="J58" s="2"/>
      <c r="K58" s="1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12"/>
      <c r="C59" s="2"/>
      <c r="D59" s="2"/>
      <c r="E59" s="2"/>
      <c r="F59" s="2"/>
      <c r="G59" s="2"/>
      <c r="H59" s="2"/>
      <c r="I59" s="2"/>
      <c r="J59" s="2"/>
      <c r="K59" s="1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12"/>
      <c r="C60" s="2"/>
      <c r="D60" s="2"/>
      <c r="E60" s="2"/>
      <c r="F60" s="2"/>
      <c r="G60" s="2"/>
      <c r="H60" s="2"/>
      <c r="I60" s="2"/>
      <c r="J60" s="2"/>
      <c r="K60" s="1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12"/>
      <c r="C61" s="2"/>
      <c r="D61" s="2"/>
      <c r="E61" s="2"/>
      <c r="F61" s="2"/>
      <c r="G61" s="2"/>
      <c r="H61" s="2"/>
      <c r="I61" s="2"/>
      <c r="J61" s="2"/>
      <c r="K61" s="1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2"/>
      <c r="C62" s="2"/>
      <c r="D62" s="2"/>
      <c r="E62" s="2"/>
      <c r="F62" s="2"/>
      <c r="G62" s="2"/>
      <c r="H62" s="2"/>
      <c r="I62" s="2"/>
      <c r="J62" s="2"/>
      <c r="K62" s="1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2"/>
      <c r="C63" s="2"/>
      <c r="D63" s="2"/>
      <c r="E63" s="2"/>
      <c r="F63" s="2"/>
      <c r="G63" s="2"/>
      <c r="H63" s="2"/>
      <c r="I63" s="2"/>
      <c r="J63" s="2"/>
      <c r="K63" s="1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12"/>
      <c r="C64" s="2"/>
      <c r="D64" s="2"/>
      <c r="E64" s="2"/>
      <c r="F64" s="2"/>
      <c r="G64" s="2"/>
      <c r="H64" s="2"/>
      <c r="I64" s="2"/>
      <c r="J64" s="2"/>
      <c r="K64" s="1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12"/>
      <c r="C65" s="2"/>
      <c r="D65" s="2"/>
      <c r="E65" s="2"/>
      <c r="F65" s="2"/>
      <c r="G65" s="2"/>
      <c r="H65" s="2"/>
      <c r="I65" s="2"/>
      <c r="J65" s="2"/>
      <c r="K65" s="1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12"/>
      <c r="C66" s="2"/>
      <c r="D66" s="2"/>
      <c r="E66" s="2"/>
      <c r="F66" s="2"/>
      <c r="G66" s="2"/>
      <c r="H66" s="2"/>
      <c r="I66" s="2"/>
      <c r="J66" s="2"/>
      <c r="K66" s="1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12"/>
      <c r="C67" s="2"/>
      <c r="D67" s="2"/>
      <c r="E67" s="2"/>
      <c r="F67" s="2"/>
      <c r="G67" s="2"/>
      <c r="H67" s="2"/>
      <c r="I67" s="2"/>
      <c r="J67" s="2"/>
      <c r="K67" s="1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12"/>
      <c r="C68" s="2"/>
      <c r="D68" s="2"/>
      <c r="E68" s="2"/>
      <c r="F68" s="2"/>
      <c r="G68" s="2"/>
      <c r="H68" s="2"/>
      <c r="I68" s="2"/>
      <c r="J68" s="2"/>
      <c r="K68" s="1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12"/>
      <c r="C69" s="2"/>
      <c r="D69" s="2"/>
      <c r="E69" s="2"/>
      <c r="F69" s="2"/>
      <c r="G69" s="2"/>
      <c r="H69" s="2"/>
      <c r="I69" s="2"/>
      <c r="J69" s="2"/>
      <c r="K69" s="1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12"/>
      <c r="C70" s="2"/>
      <c r="D70" s="2"/>
      <c r="E70" s="2"/>
      <c r="F70" s="2"/>
      <c r="G70" s="2"/>
      <c r="H70" s="2"/>
      <c r="I70" s="2"/>
      <c r="J70" s="2"/>
      <c r="K70" s="1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12"/>
      <c r="C71" s="2"/>
      <c r="D71" s="2"/>
      <c r="E71" s="2"/>
      <c r="F71" s="2"/>
      <c r="G71" s="2"/>
      <c r="H71" s="2"/>
      <c r="I71" s="2"/>
      <c r="J71" s="2"/>
      <c r="K71" s="1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12"/>
      <c r="C72" s="2"/>
      <c r="D72" s="2"/>
      <c r="E72" s="2"/>
      <c r="F72" s="2"/>
      <c r="G72" s="2"/>
      <c r="H72" s="2"/>
      <c r="I72" s="2"/>
      <c r="J72" s="2"/>
      <c r="K72" s="1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12"/>
      <c r="C73" s="2"/>
      <c r="D73" s="2"/>
      <c r="E73" s="2"/>
      <c r="F73" s="2"/>
      <c r="G73" s="2"/>
      <c r="H73" s="2"/>
      <c r="I73" s="2"/>
      <c r="J73" s="2"/>
      <c r="K73" s="1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12"/>
      <c r="C74" s="2"/>
      <c r="D74" s="2"/>
      <c r="E74" s="2"/>
      <c r="F74" s="2"/>
      <c r="G74" s="2"/>
      <c r="H74" s="2"/>
      <c r="I74" s="2"/>
      <c r="J74" s="2"/>
      <c r="K74" s="1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12"/>
      <c r="C75" s="2"/>
      <c r="D75" s="2"/>
      <c r="E75" s="2"/>
      <c r="F75" s="2"/>
      <c r="G75" s="2"/>
      <c r="H75" s="2"/>
      <c r="I75" s="2"/>
      <c r="J75" s="2"/>
      <c r="K75" s="1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12"/>
      <c r="C76" s="2"/>
      <c r="D76" s="2"/>
      <c r="E76" s="2"/>
      <c r="F76" s="2"/>
      <c r="G76" s="2"/>
      <c r="H76" s="2"/>
      <c r="I76" s="2"/>
      <c r="J76" s="2"/>
      <c r="K76" s="1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12"/>
      <c r="C77" s="2"/>
      <c r="D77" s="2"/>
      <c r="E77" s="2"/>
      <c r="F77" s="2"/>
      <c r="G77" s="2"/>
      <c r="H77" s="2"/>
      <c r="I77" s="2"/>
      <c r="J77" s="2"/>
      <c r="K77" s="1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12"/>
      <c r="C78" s="2"/>
      <c r="D78" s="2"/>
      <c r="E78" s="2"/>
      <c r="F78" s="2"/>
      <c r="G78" s="2"/>
      <c r="H78" s="2"/>
      <c r="I78" s="2"/>
      <c r="J78" s="2"/>
      <c r="K78" s="1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12"/>
      <c r="C79" s="2"/>
      <c r="D79" s="2"/>
      <c r="E79" s="2"/>
      <c r="F79" s="2"/>
      <c r="G79" s="2"/>
      <c r="H79" s="2"/>
      <c r="I79" s="2"/>
      <c r="J79" s="2"/>
      <c r="K79" s="1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12"/>
      <c r="C80" s="2"/>
      <c r="D80" s="2"/>
      <c r="E80" s="2"/>
      <c r="F80" s="2"/>
      <c r="G80" s="2"/>
      <c r="H80" s="2"/>
      <c r="I80" s="2"/>
      <c r="J80" s="2"/>
      <c r="K80" s="1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12"/>
      <c r="C81" s="2"/>
      <c r="D81" s="2"/>
      <c r="E81" s="2"/>
      <c r="F81" s="2"/>
      <c r="G81" s="2"/>
      <c r="H81" s="2"/>
      <c r="I81" s="2"/>
      <c r="J81" s="2"/>
      <c r="K81" s="1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12"/>
      <c r="C82" s="2"/>
      <c r="D82" s="2"/>
      <c r="E82" s="2"/>
      <c r="F82" s="2"/>
      <c r="G82" s="2"/>
      <c r="H82" s="2"/>
      <c r="I82" s="2"/>
      <c r="J82" s="2"/>
      <c r="K82" s="1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12"/>
      <c r="C83" s="2"/>
      <c r="D83" s="2"/>
      <c r="E83" s="2"/>
      <c r="F83" s="2"/>
      <c r="G83" s="2"/>
      <c r="H83" s="2"/>
      <c r="I83" s="2"/>
      <c r="J83" s="2"/>
      <c r="K83" s="1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12"/>
      <c r="C84" s="2"/>
      <c r="D84" s="2"/>
      <c r="E84" s="2"/>
      <c r="F84" s="2"/>
      <c r="G84" s="2"/>
      <c r="H84" s="2"/>
      <c r="I84" s="2"/>
      <c r="J84" s="2"/>
      <c r="K84" s="1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12"/>
      <c r="C85" s="2"/>
      <c r="D85" s="2"/>
      <c r="E85" s="2"/>
      <c r="F85" s="2"/>
      <c r="G85" s="2"/>
      <c r="H85" s="2"/>
      <c r="I85" s="2"/>
      <c r="J85" s="2"/>
      <c r="K85" s="1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12"/>
      <c r="C86" s="2"/>
      <c r="D86" s="2"/>
      <c r="E86" s="2"/>
      <c r="F86" s="2"/>
      <c r="G86" s="2"/>
      <c r="H86" s="2"/>
      <c r="I86" s="2"/>
      <c r="J86" s="2"/>
      <c r="K86" s="1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12"/>
      <c r="C87" s="2"/>
      <c r="D87" s="2"/>
      <c r="E87" s="2"/>
      <c r="F87" s="2"/>
      <c r="G87" s="2"/>
      <c r="H87" s="2"/>
      <c r="I87" s="2"/>
      <c r="J87" s="2"/>
      <c r="K87" s="1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12"/>
      <c r="C88" s="2"/>
      <c r="D88" s="2"/>
      <c r="E88" s="2"/>
      <c r="F88" s="2"/>
      <c r="G88" s="2"/>
      <c r="H88" s="2"/>
      <c r="I88" s="2"/>
      <c r="J88" s="2"/>
      <c r="K88" s="1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12"/>
      <c r="C89" s="2"/>
      <c r="D89" s="2"/>
      <c r="E89" s="2"/>
      <c r="F89" s="2"/>
      <c r="G89" s="2"/>
      <c r="H89" s="2"/>
      <c r="I89" s="2"/>
      <c r="J89" s="2"/>
      <c r="K89" s="1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12"/>
      <c r="C90" s="2"/>
      <c r="D90" s="2"/>
      <c r="E90" s="2"/>
      <c r="F90" s="2"/>
      <c r="G90" s="2"/>
      <c r="H90" s="2"/>
      <c r="I90" s="2"/>
      <c r="J90" s="2"/>
      <c r="K90" s="1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12"/>
      <c r="C91" s="2"/>
      <c r="D91" s="2"/>
      <c r="E91" s="2"/>
      <c r="F91" s="2"/>
      <c r="G91" s="2"/>
      <c r="H91" s="2"/>
      <c r="I91" s="2"/>
      <c r="J91" s="2"/>
      <c r="K91" s="1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12"/>
      <c r="C92" s="2"/>
      <c r="D92" s="2"/>
      <c r="E92" s="2"/>
      <c r="F92" s="2"/>
      <c r="G92" s="2"/>
      <c r="H92" s="2"/>
      <c r="I92" s="2"/>
      <c r="J92" s="2"/>
      <c r="K92" s="1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12"/>
      <c r="C93" s="2"/>
      <c r="D93" s="2"/>
      <c r="E93" s="2"/>
      <c r="F93" s="2"/>
      <c r="G93" s="2"/>
      <c r="H93" s="2"/>
      <c r="I93" s="2"/>
      <c r="J93" s="2"/>
      <c r="K93" s="1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12"/>
      <c r="C94" s="2"/>
      <c r="D94" s="2"/>
      <c r="E94" s="2"/>
      <c r="F94" s="2"/>
      <c r="G94" s="2"/>
      <c r="H94" s="2"/>
      <c r="I94" s="2"/>
      <c r="J94" s="2"/>
      <c r="K94" s="1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12"/>
      <c r="C95" s="2"/>
      <c r="D95" s="2"/>
      <c r="E95" s="2"/>
      <c r="F95" s="2"/>
      <c r="G95" s="2"/>
      <c r="H95" s="2"/>
      <c r="I95" s="2"/>
      <c r="J95" s="2"/>
      <c r="K95" s="1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12"/>
      <c r="C96" s="2"/>
      <c r="D96" s="2"/>
      <c r="E96" s="2"/>
      <c r="F96" s="2"/>
      <c r="G96" s="2"/>
      <c r="H96" s="2"/>
      <c r="I96" s="2"/>
      <c r="J96" s="2"/>
      <c r="K96" s="1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12"/>
      <c r="C97" s="2"/>
      <c r="D97" s="2"/>
      <c r="E97" s="2"/>
      <c r="F97" s="2"/>
      <c r="G97" s="2"/>
      <c r="H97" s="2"/>
      <c r="I97" s="2"/>
      <c r="J97" s="2"/>
      <c r="K97" s="1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12"/>
      <c r="C98" s="2"/>
      <c r="D98" s="2"/>
      <c r="E98" s="2"/>
      <c r="F98" s="2"/>
      <c r="G98" s="2"/>
      <c r="H98" s="2"/>
      <c r="I98" s="2"/>
      <c r="J98" s="2"/>
      <c r="K98" s="1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12"/>
      <c r="C99" s="2"/>
      <c r="D99" s="2"/>
      <c r="E99" s="2"/>
      <c r="F99" s="2"/>
      <c r="G99" s="2"/>
      <c r="H99" s="2"/>
      <c r="I99" s="2"/>
      <c r="J99" s="2"/>
      <c r="K99" s="1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12"/>
      <c r="C100" s="2"/>
      <c r="D100" s="2"/>
      <c r="E100" s="2"/>
      <c r="F100" s="2"/>
      <c r="G100" s="2"/>
      <c r="H100" s="2"/>
      <c r="I100" s="2"/>
      <c r="J100" s="2"/>
      <c r="K100" s="1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00">
      <formula1>Projects!$B$2:$B$6</formula1>
    </dataValidation>
    <dataValidation type="list" allowBlank="1" sqref="D2:D100">
      <formula1>Lists!$E$2:$E$7</formula1>
    </dataValidation>
    <dataValidation type="list" allowBlank="1" sqref="L2:L100">
      <formula1>Lists!$A$6:$A$10</formula1>
    </dataValidation>
    <dataValidation type="list" allowBlank="1" sqref="E2:E100">
      <formula1>Lists!$F$2:$F$6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5.13"/>
    <col customWidth="1" min="3" max="3" width="19.88"/>
    <col customWidth="1" min="4" max="4" width="19.75"/>
    <col customWidth="1" min="5" max="10" width="44.0"/>
    <col customWidth="1" min="11" max="11" width="13.38"/>
    <col customWidth="1" min="12" max="12" width="22.25"/>
    <col customWidth="1" min="13" max="26" width="8.63"/>
  </cols>
  <sheetData>
    <row r="1">
      <c r="A1" s="8" t="s">
        <v>201</v>
      </c>
      <c r="B1" s="8" t="s">
        <v>202</v>
      </c>
      <c r="C1" s="8" t="s">
        <v>37</v>
      </c>
      <c r="D1" s="8" t="s">
        <v>203</v>
      </c>
      <c r="E1" s="8" t="s">
        <v>204</v>
      </c>
      <c r="F1" s="8" t="s">
        <v>3</v>
      </c>
      <c r="G1" s="8" t="s">
        <v>205</v>
      </c>
      <c r="H1" s="8" t="s">
        <v>206</v>
      </c>
      <c r="I1" s="8" t="s">
        <v>207</v>
      </c>
      <c r="J1" s="8" t="s">
        <v>208</v>
      </c>
      <c r="K1" s="8" t="s">
        <v>209</v>
      </c>
      <c r="L1" s="8" t="s">
        <v>45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210</v>
      </c>
      <c r="B2" s="10">
        <v>46206.0</v>
      </c>
      <c r="C2" s="9" t="s">
        <v>12</v>
      </c>
      <c r="D2" s="9" t="s">
        <v>211</v>
      </c>
      <c r="E2" s="9" t="s">
        <v>212</v>
      </c>
      <c r="F2" s="9" t="s">
        <v>8</v>
      </c>
      <c r="G2" s="9" t="s">
        <v>213</v>
      </c>
      <c r="H2" s="9" t="s">
        <v>214</v>
      </c>
      <c r="I2" s="9" t="s">
        <v>215</v>
      </c>
      <c r="J2" s="9" t="s">
        <v>216</v>
      </c>
      <c r="K2" s="9" t="s">
        <v>217</v>
      </c>
      <c r="L2" s="9" t="s">
        <v>218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219</v>
      </c>
      <c r="B3" s="10">
        <v>46206.0</v>
      </c>
      <c r="C3" s="9" t="s">
        <v>9</v>
      </c>
      <c r="D3" s="9" t="s">
        <v>220</v>
      </c>
      <c r="E3" s="9" t="s">
        <v>221</v>
      </c>
      <c r="F3" s="9" t="s">
        <v>11</v>
      </c>
      <c r="G3" s="9" t="s">
        <v>222</v>
      </c>
      <c r="H3" s="9" t="s">
        <v>223</v>
      </c>
      <c r="I3" s="9" t="s">
        <v>224</v>
      </c>
      <c r="J3" s="9" t="s">
        <v>225</v>
      </c>
      <c r="K3" s="9" t="s">
        <v>217</v>
      </c>
      <c r="L3" s="9" t="s">
        <v>218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1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1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1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1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1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1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1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1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1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1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1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1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1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1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1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1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1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1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1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1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1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1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1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1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1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1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1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1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1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1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1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1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1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1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1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1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1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1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1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1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1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100">
    <cfRule type="expression" dxfId="4" priority="1">
      <formula>$F2="Critical"</formula>
    </cfRule>
  </conditionalFormatting>
  <conditionalFormatting sqref="F2:F100">
    <cfRule type="expression" dxfId="5" priority="2">
      <formula>$F2="High"</formula>
    </cfRule>
  </conditionalFormatting>
  <conditionalFormatting sqref="F2:F100">
    <cfRule type="expression" dxfId="6" priority="3">
      <formula>$F2="Medium"</formula>
    </cfRule>
  </conditionalFormatting>
  <conditionalFormatting sqref="F2:F100">
    <cfRule type="expression" dxfId="7" priority="4">
      <formula>$F2="Low"</formula>
    </cfRule>
  </conditionalFormatting>
  <dataValidations>
    <dataValidation type="list" allowBlank="1" sqref="C2:C100">
      <formula1>Projects!$B$2:$B$6</formula1>
    </dataValidation>
    <dataValidation type="list" allowBlank="1" sqref="K2:K100">
      <formula1>Lists!$G$2:$G$5</formula1>
    </dataValidation>
    <dataValidation type="list" allowBlank="1" sqref="F2:F100">
      <formula1>Lists!$C$2:$C$5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22.0"/>
    <col customWidth="1" min="9" max="26" width="8.63"/>
  </cols>
  <sheetData>
    <row r="1">
      <c r="A1" s="3" t="s">
        <v>42</v>
      </c>
      <c r="B1" s="3" t="s">
        <v>128</v>
      </c>
      <c r="C1" s="3" t="s">
        <v>3</v>
      </c>
      <c r="D1" s="3" t="s">
        <v>25</v>
      </c>
      <c r="E1" s="3" t="s">
        <v>173</v>
      </c>
      <c r="F1" s="3" t="s">
        <v>174</v>
      </c>
      <c r="G1" s="3" t="s">
        <v>209</v>
      </c>
      <c r="H1" s="3" t="s">
        <v>226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63</v>
      </c>
      <c r="B2" s="4" t="s">
        <v>17</v>
      </c>
      <c r="C2" s="4" t="s">
        <v>17</v>
      </c>
      <c r="D2" s="4" t="s">
        <v>27</v>
      </c>
      <c r="E2" s="4" t="s">
        <v>181</v>
      </c>
      <c r="F2" s="4" t="s">
        <v>182</v>
      </c>
      <c r="G2" s="4" t="s">
        <v>217</v>
      </c>
      <c r="H2" s="4" t="s">
        <v>139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49</v>
      </c>
      <c r="B3" s="4" t="s">
        <v>14</v>
      </c>
      <c r="C3" s="4" t="s">
        <v>14</v>
      </c>
      <c r="D3" s="4" t="s">
        <v>28</v>
      </c>
      <c r="E3" s="4" t="s">
        <v>227</v>
      </c>
      <c r="F3" s="4" t="s">
        <v>189</v>
      </c>
      <c r="G3" s="4" t="s">
        <v>228</v>
      </c>
      <c r="H3" s="4" t="s">
        <v>135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54</v>
      </c>
      <c r="B4" s="4" t="s">
        <v>11</v>
      </c>
      <c r="C4" s="4" t="s">
        <v>11</v>
      </c>
      <c r="D4" s="4" t="s">
        <v>29</v>
      </c>
      <c r="E4" s="4" t="s">
        <v>188</v>
      </c>
      <c r="F4" s="4" t="s">
        <v>229</v>
      </c>
      <c r="G4" s="4" t="s">
        <v>230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231</v>
      </c>
      <c r="B5" s="4" t="s">
        <v>8</v>
      </c>
      <c r="C5" s="4" t="s">
        <v>8</v>
      </c>
      <c r="D5" s="4" t="s">
        <v>30</v>
      </c>
      <c r="E5" s="4" t="s">
        <v>195</v>
      </c>
      <c r="F5" s="4" t="s">
        <v>232</v>
      </c>
      <c r="G5" s="4" t="s">
        <v>233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152</v>
      </c>
      <c r="B6" s="4"/>
      <c r="C6" s="4"/>
      <c r="D6" s="4" t="s">
        <v>31</v>
      </c>
      <c r="E6" s="4" t="s">
        <v>234</v>
      </c>
      <c r="F6" s="4" t="s">
        <v>196</v>
      </c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83</v>
      </c>
      <c r="B7" s="4"/>
      <c r="C7" s="4"/>
      <c r="D7" s="4" t="s">
        <v>32</v>
      </c>
      <c r="E7" s="4" t="s">
        <v>235</v>
      </c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93</v>
      </c>
      <c r="B8" s="4"/>
      <c r="C8" s="4"/>
      <c r="D8" s="4" t="s">
        <v>33</v>
      </c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236</v>
      </c>
      <c r="B9" s="4"/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237</v>
      </c>
      <c r="B10" s="4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